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hedge5-my.sharepoint.com/personal/priyam_hedge5_in/Documents/Desktop/Finstat/Renewable-consolidation-model/"/>
    </mc:Choice>
  </mc:AlternateContent>
  <xr:revisionPtr revIDLastSave="156" documentId="11_8BA99942DDC83D6E89E06829366BD7FFDFD1EC96" xr6:coauthVersionLast="47" xr6:coauthVersionMax="47" xr10:uidLastSave="{2FD4CD6A-78F6-449E-A342-48D36DC31B83}"/>
  <bookViews>
    <workbookView xWindow="1820" yWindow="90" windowWidth="17380" windowHeight="9660" firstSheet="7" activeTab="9" xr2:uid="{00000000-000D-0000-FFFF-FFFF00000000}"/>
  </bookViews>
  <sheets>
    <sheet name="Dashboard" sheetId="1" r:id="rId1"/>
    <sheet name="Entity_Master" sheetId="2" r:id="rId2"/>
    <sheet name="Asset_Master" sheetId="3" r:id="rId3"/>
    <sheet name="Reference_Lists" sheetId="4" r:id="rId4"/>
    <sheet name="Mapping_BS" sheetId="5" r:id="rId5"/>
    <sheet name="Mapping_PL" sheetId="6" r:id="rId6"/>
    <sheet name="Mapping_CF" sheetId="7" r:id="rId7"/>
    <sheet name="TB_Input" sheetId="8" r:id="rId8"/>
    <sheet name="IC_Transactions" sheetId="9" r:id="rId9"/>
    <sheet name="Consolidation_BS" sheetId="10" r:id="rId10"/>
    <sheet name="Consolidation_PL" sheetId="11" r:id="rId11"/>
    <sheet name="Consolidation_CF" sheetId="12" r:id="rId12"/>
    <sheet name="Eliminations" sheetId="13" r:id="rId13"/>
    <sheet name="Output_BS" sheetId="14" r:id="rId14"/>
    <sheet name="Output_PL" sheetId="15" r:id="rId15"/>
    <sheet name="Output_CF" sheetId="16" r:id="rId16"/>
    <sheet name="Output_Segment" sheetId="17" r:id="rId17"/>
    <sheet name="Period_Control" sheetId="18" r:id="rId18"/>
    <sheet name="Validation" sheetId="19" r:id="rId19"/>
    <sheet name="Instructions" sheetId="20" r:id="rId2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10" i="1"/>
  <c r="B9" i="1"/>
  <c r="B8" i="1"/>
  <c r="B7" i="1"/>
  <c r="D18" i="19"/>
  <c r="D15" i="19"/>
  <c r="D13" i="19"/>
  <c r="D12" i="19"/>
  <c r="D10" i="19"/>
  <c r="D9" i="19"/>
  <c r="D6" i="19"/>
  <c r="D5" i="19"/>
  <c r="D4" i="19"/>
  <c r="C33" i="16"/>
  <c r="C32" i="16"/>
  <c r="C31" i="16"/>
  <c r="C29" i="16"/>
  <c r="C28" i="16"/>
  <c r="C27" i="16"/>
  <c r="C24" i="16"/>
  <c r="C23" i="16"/>
  <c r="C22" i="16"/>
  <c r="C19" i="16"/>
  <c r="C18" i="16"/>
  <c r="C17" i="16"/>
  <c r="C16" i="16"/>
  <c r="C15" i="16"/>
  <c r="C13" i="16"/>
  <c r="C12" i="16"/>
  <c r="C11" i="16"/>
  <c r="C10" i="16"/>
  <c r="C8" i="16"/>
  <c r="D32" i="15"/>
  <c r="D31" i="15"/>
  <c r="D30" i="15"/>
  <c r="D27" i="15"/>
  <c r="F27" i="15" s="1"/>
  <c r="D26" i="15"/>
  <c r="F26" i="15" s="1"/>
  <c r="D25" i="15"/>
  <c r="F25" i="15" s="1"/>
  <c r="D23" i="15"/>
  <c r="F23" i="15" s="1"/>
  <c r="D22" i="15"/>
  <c r="F22" i="15" s="1"/>
  <c r="D21" i="15"/>
  <c r="F21" i="15" s="1"/>
  <c r="D20" i="15"/>
  <c r="F20" i="15" s="1"/>
  <c r="D19" i="15"/>
  <c r="F19" i="15" s="1"/>
  <c r="D18" i="15"/>
  <c r="F18" i="15" s="1"/>
  <c r="D17" i="15"/>
  <c r="F17" i="15" s="1"/>
  <c r="D14" i="15"/>
  <c r="F14" i="15" s="1"/>
  <c r="D13" i="15"/>
  <c r="F13" i="15" s="1"/>
  <c r="D12" i="15"/>
  <c r="F12" i="15" s="1"/>
  <c r="D11" i="15"/>
  <c r="F11" i="15" s="1"/>
  <c r="D10" i="15"/>
  <c r="F10" i="15" s="1"/>
  <c r="D9" i="15"/>
  <c r="F9" i="15" s="1"/>
  <c r="D8" i="15"/>
  <c r="F8" i="15" s="1"/>
  <c r="D32" i="14"/>
  <c r="F32" i="14" s="1"/>
  <c r="D31" i="14"/>
  <c r="F31" i="14" s="1"/>
  <c r="D30" i="14"/>
  <c r="F30" i="14" s="1"/>
  <c r="D29" i="14"/>
  <c r="F29" i="14" s="1"/>
  <c r="D28" i="14"/>
  <c r="F28" i="14" s="1"/>
  <c r="D27" i="14"/>
  <c r="F27" i="14" s="1"/>
  <c r="D26" i="14"/>
  <c r="F26" i="14" s="1"/>
  <c r="D25" i="14"/>
  <c r="F25" i="14" s="1"/>
  <c r="D24" i="14"/>
  <c r="F24" i="14" s="1"/>
  <c r="D23" i="14"/>
  <c r="F23" i="14" s="1"/>
  <c r="D22" i="14"/>
  <c r="F22" i="14" s="1"/>
  <c r="D21" i="14"/>
  <c r="F21" i="14" s="1"/>
  <c r="D20" i="14"/>
  <c r="F20" i="14" s="1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D11" i="14"/>
  <c r="F11" i="14" s="1"/>
  <c r="D10" i="14"/>
  <c r="F10" i="14" s="1"/>
  <c r="D9" i="14"/>
  <c r="F9" i="14" s="1"/>
  <c r="D8" i="14"/>
  <c r="F8" i="14" s="1"/>
  <c r="E7" i="13"/>
  <c r="E6" i="13"/>
  <c r="I10" i="11" s="1"/>
  <c r="E5" i="13"/>
  <c r="I27" i="10" s="1"/>
  <c r="E4" i="13"/>
  <c r="E2" i="13"/>
  <c r="L27" i="11"/>
  <c r="I27" i="11"/>
  <c r="G27" i="11"/>
  <c r="F27" i="11"/>
  <c r="E27" i="11"/>
  <c r="K26" i="11"/>
  <c r="I26" i="11"/>
  <c r="G26" i="11"/>
  <c r="F26" i="11"/>
  <c r="E26" i="11"/>
  <c r="I24" i="11"/>
  <c r="I23" i="11"/>
  <c r="I20" i="11"/>
  <c r="I19" i="11"/>
  <c r="I18" i="11"/>
  <c r="I17" i="11"/>
  <c r="I16" i="11"/>
  <c r="I15" i="11"/>
  <c r="I14" i="11"/>
  <c r="I13" i="11"/>
  <c r="I11" i="11"/>
  <c r="I8" i="11"/>
  <c r="I7" i="11"/>
  <c r="I6" i="11"/>
  <c r="I5" i="11"/>
  <c r="I4" i="11"/>
  <c r="I28" i="10"/>
  <c r="I24" i="10"/>
  <c r="I23" i="10" s="1"/>
  <c r="I22" i="10" s="1"/>
  <c r="I21" i="10"/>
  <c r="F21" i="10"/>
  <c r="E21" i="10"/>
  <c r="I19" i="10"/>
  <c r="G19" i="10"/>
  <c r="F19" i="10"/>
  <c r="I16" i="10"/>
  <c r="I15" i="10"/>
  <c r="I13" i="10"/>
  <c r="I11" i="10"/>
  <c r="I10" i="10"/>
  <c r="I9" i="10"/>
  <c r="I7" i="10"/>
  <c r="I6" i="10"/>
  <c r="I4" i="10"/>
  <c r="H4" i="9"/>
  <c r="H3" i="9"/>
  <c r="H2" i="9"/>
  <c r="E3" i="13" s="1"/>
  <c r="C20" i="1"/>
  <c r="E20" i="1" s="1"/>
  <c r="C19" i="1"/>
  <c r="E19" i="1" s="1"/>
  <c r="C18" i="1"/>
  <c r="E18" i="1" s="1"/>
  <c r="C17" i="1"/>
  <c r="E17" i="1" s="1"/>
  <c r="C16" i="1"/>
  <c r="E16" i="1" s="1"/>
  <c r="C15" i="1"/>
  <c r="E15" i="1" s="1"/>
  <c r="N200" i="8"/>
  <c r="M200" i="8"/>
  <c r="J200" i="8"/>
  <c r="G200" i="8"/>
  <c r="N199" i="8"/>
  <c r="M199" i="8"/>
  <c r="J199" i="8"/>
  <c r="G199" i="8"/>
  <c r="N198" i="8"/>
  <c r="M198" i="8"/>
  <c r="J198" i="8"/>
  <c r="G198" i="8"/>
  <c r="N197" i="8"/>
  <c r="M197" i="8"/>
  <c r="J197" i="8"/>
  <c r="G197" i="8"/>
  <c r="N196" i="8"/>
  <c r="M196" i="8"/>
  <c r="J196" i="8"/>
  <c r="G196" i="8"/>
  <c r="N195" i="8"/>
  <c r="M195" i="8"/>
  <c r="J195" i="8"/>
  <c r="G195" i="8"/>
  <c r="N194" i="8"/>
  <c r="M194" i="8"/>
  <c r="J194" i="8"/>
  <c r="G194" i="8"/>
  <c r="N193" i="8"/>
  <c r="M193" i="8"/>
  <c r="J193" i="8"/>
  <c r="G193" i="8"/>
  <c r="N192" i="8"/>
  <c r="M192" i="8"/>
  <c r="J192" i="8"/>
  <c r="G192" i="8"/>
  <c r="N191" i="8"/>
  <c r="M191" i="8"/>
  <c r="J191" i="8"/>
  <c r="G191" i="8"/>
  <c r="N190" i="8"/>
  <c r="M190" i="8"/>
  <c r="J190" i="8"/>
  <c r="G190" i="8"/>
  <c r="N189" i="8"/>
  <c r="M189" i="8"/>
  <c r="J189" i="8"/>
  <c r="G189" i="8"/>
  <c r="N188" i="8"/>
  <c r="M188" i="8"/>
  <c r="J188" i="8"/>
  <c r="G188" i="8"/>
  <c r="N187" i="8"/>
  <c r="M187" i="8"/>
  <c r="J187" i="8"/>
  <c r="G187" i="8"/>
  <c r="N186" i="8"/>
  <c r="M186" i="8"/>
  <c r="J186" i="8"/>
  <c r="G186" i="8"/>
  <c r="N185" i="8"/>
  <c r="M185" i="8"/>
  <c r="J185" i="8"/>
  <c r="G185" i="8"/>
  <c r="N184" i="8"/>
  <c r="M184" i="8"/>
  <c r="J184" i="8"/>
  <c r="G184" i="8"/>
  <c r="N183" i="8"/>
  <c r="M183" i="8"/>
  <c r="J183" i="8"/>
  <c r="G183" i="8"/>
  <c r="N182" i="8"/>
  <c r="M182" i="8"/>
  <c r="J182" i="8"/>
  <c r="G182" i="8"/>
  <c r="N181" i="8"/>
  <c r="M181" i="8"/>
  <c r="J181" i="8"/>
  <c r="G181" i="8"/>
  <c r="N180" i="8"/>
  <c r="M180" i="8"/>
  <c r="J180" i="8"/>
  <c r="G180" i="8"/>
  <c r="N179" i="8"/>
  <c r="M179" i="8"/>
  <c r="J179" i="8"/>
  <c r="G179" i="8"/>
  <c r="N178" i="8"/>
  <c r="M178" i="8"/>
  <c r="J178" i="8"/>
  <c r="G178" i="8"/>
  <c r="N177" i="8"/>
  <c r="M177" i="8"/>
  <c r="J177" i="8"/>
  <c r="G177" i="8"/>
  <c r="N176" i="8"/>
  <c r="M176" i="8"/>
  <c r="J176" i="8"/>
  <c r="G176" i="8"/>
  <c r="N175" i="8"/>
  <c r="M175" i="8"/>
  <c r="J175" i="8"/>
  <c r="G175" i="8"/>
  <c r="N174" i="8"/>
  <c r="M174" i="8"/>
  <c r="J174" i="8"/>
  <c r="G174" i="8"/>
  <c r="N173" i="8"/>
  <c r="M173" i="8"/>
  <c r="J173" i="8"/>
  <c r="G173" i="8"/>
  <c r="N172" i="8"/>
  <c r="M172" i="8"/>
  <c r="J172" i="8"/>
  <c r="G172" i="8"/>
  <c r="N171" i="8"/>
  <c r="M171" i="8"/>
  <c r="J171" i="8"/>
  <c r="G171" i="8"/>
  <c r="N170" i="8"/>
  <c r="M170" i="8"/>
  <c r="J170" i="8"/>
  <c r="G170" i="8"/>
  <c r="N169" i="8"/>
  <c r="M169" i="8"/>
  <c r="J169" i="8"/>
  <c r="G169" i="8"/>
  <c r="N168" i="8"/>
  <c r="M168" i="8"/>
  <c r="J168" i="8"/>
  <c r="G168" i="8"/>
  <c r="N167" i="8"/>
  <c r="M167" i="8"/>
  <c r="J167" i="8"/>
  <c r="G167" i="8"/>
  <c r="N166" i="8"/>
  <c r="M166" i="8"/>
  <c r="J166" i="8"/>
  <c r="G166" i="8"/>
  <c r="N165" i="8"/>
  <c r="M165" i="8"/>
  <c r="J165" i="8"/>
  <c r="G165" i="8"/>
  <c r="N164" i="8"/>
  <c r="M164" i="8"/>
  <c r="J164" i="8"/>
  <c r="G164" i="8"/>
  <c r="N163" i="8"/>
  <c r="M163" i="8"/>
  <c r="J163" i="8"/>
  <c r="G163" i="8"/>
  <c r="N162" i="8"/>
  <c r="M162" i="8"/>
  <c r="J162" i="8"/>
  <c r="G162" i="8"/>
  <c r="N161" i="8"/>
  <c r="M161" i="8"/>
  <c r="J161" i="8"/>
  <c r="G161" i="8"/>
  <c r="N160" i="8"/>
  <c r="M160" i="8"/>
  <c r="J160" i="8"/>
  <c r="G160" i="8"/>
  <c r="N159" i="8"/>
  <c r="M159" i="8"/>
  <c r="J159" i="8"/>
  <c r="G159" i="8"/>
  <c r="N158" i="8"/>
  <c r="M158" i="8"/>
  <c r="J158" i="8"/>
  <c r="G158" i="8"/>
  <c r="N157" i="8"/>
  <c r="M157" i="8"/>
  <c r="J157" i="8"/>
  <c r="G157" i="8"/>
  <c r="N156" i="8"/>
  <c r="M156" i="8"/>
  <c r="J156" i="8"/>
  <c r="G156" i="8"/>
  <c r="N155" i="8"/>
  <c r="M155" i="8"/>
  <c r="J155" i="8"/>
  <c r="G155" i="8"/>
  <c r="N154" i="8"/>
  <c r="M154" i="8"/>
  <c r="J154" i="8"/>
  <c r="G154" i="8"/>
  <c r="N153" i="8"/>
  <c r="M153" i="8"/>
  <c r="J153" i="8"/>
  <c r="G153" i="8"/>
  <c r="N152" i="8"/>
  <c r="M152" i="8"/>
  <c r="J152" i="8"/>
  <c r="G152" i="8"/>
  <c r="N151" i="8"/>
  <c r="M151" i="8"/>
  <c r="J151" i="8"/>
  <c r="G151" i="8"/>
  <c r="N150" i="8"/>
  <c r="M150" i="8"/>
  <c r="J150" i="8"/>
  <c r="G150" i="8"/>
  <c r="N149" i="8"/>
  <c r="M149" i="8"/>
  <c r="J149" i="8"/>
  <c r="G149" i="8"/>
  <c r="N148" i="8"/>
  <c r="M148" i="8"/>
  <c r="J148" i="8"/>
  <c r="G148" i="8"/>
  <c r="N147" i="8"/>
  <c r="M147" i="8"/>
  <c r="J147" i="8"/>
  <c r="G147" i="8"/>
  <c r="N146" i="8"/>
  <c r="M146" i="8"/>
  <c r="J146" i="8"/>
  <c r="G146" i="8"/>
  <c r="N145" i="8"/>
  <c r="M145" i="8"/>
  <c r="J145" i="8"/>
  <c r="G145" i="8"/>
  <c r="N144" i="8"/>
  <c r="M144" i="8"/>
  <c r="J144" i="8"/>
  <c r="G144" i="8"/>
  <c r="N143" i="8"/>
  <c r="M143" i="8"/>
  <c r="J143" i="8"/>
  <c r="G143" i="8"/>
  <c r="N142" i="8"/>
  <c r="M142" i="8"/>
  <c r="J142" i="8"/>
  <c r="G142" i="8"/>
  <c r="N141" i="8"/>
  <c r="M141" i="8"/>
  <c r="J141" i="8"/>
  <c r="G141" i="8"/>
  <c r="N140" i="8"/>
  <c r="M140" i="8"/>
  <c r="J140" i="8"/>
  <c r="G140" i="8"/>
  <c r="N139" i="8"/>
  <c r="M139" i="8"/>
  <c r="J139" i="8"/>
  <c r="G139" i="8"/>
  <c r="N138" i="8"/>
  <c r="M138" i="8"/>
  <c r="J138" i="8"/>
  <c r="G138" i="8"/>
  <c r="N137" i="8"/>
  <c r="M137" i="8"/>
  <c r="J137" i="8"/>
  <c r="G137" i="8"/>
  <c r="N136" i="8"/>
  <c r="M136" i="8"/>
  <c r="J136" i="8"/>
  <c r="G136" i="8"/>
  <c r="N135" i="8"/>
  <c r="M135" i="8"/>
  <c r="J135" i="8"/>
  <c r="G135" i="8"/>
  <c r="N134" i="8"/>
  <c r="M134" i="8"/>
  <c r="J134" i="8"/>
  <c r="G134" i="8"/>
  <c r="N133" i="8"/>
  <c r="M133" i="8"/>
  <c r="J133" i="8"/>
  <c r="G133" i="8"/>
  <c r="N132" i="8"/>
  <c r="M132" i="8"/>
  <c r="J132" i="8"/>
  <c r="G132" i="8"/>
  <c r="N131" i="8"/>
  <c r="M131" i="8"/>
  <c r="J131" i="8"/>
  <c r="G131" i="8"/>
  <c r="N130" i="8"/>
  <c r="M130" i="8"/>
  <c r="J130" i="8"/>
  <c r="G130" i="8"/>
  <c r="N129" i="8"/>
  <c r="M129" i="8"/>
  <c r="J129" i="8"/>
  <c r="G129" i="8"/>
  <c r="N128" i="8"/>
  <c r="M128" i="8"/>
  <c r="J128" i="8"/>
  <c r="G128" i="8"/>
  <c r="N127" i="8"/>
  <c r="M127" i="8"/>
  <c r="J127" i="8"/>
  <c r="G127" i="8"/>
  <c r="N126" i="8"/>
  <c r="M126" i="8"/>
  <c r="J126" i="8"/>
  <c r="G126" i="8"/>
  <c r="N125" i="8"/>
  <c r="M125" i="8"/>
  <c r="J125" i="8"/>
  <c r="G125" i="8"/>
  <c r="N124" i="8"/>
  <c r="M124" i="8"/>
  <c r="J124" i="8"/>
  <c r="G124" i="8"/>
  <c r="N123" i="8"/>
  <c r="M123" i="8"/>
  <c r="J123" i="8"/>
  <c r="G123" i="8"/>
  <c r="N122" i="8"/>
  <c r="M122" i="8"/>
  <c r="J122" i="8"/>
  <c r="G122" i="8"/>
  <c r="N121" i="8"/>
  <c r="M121" i="8"/>
  <c r="J121" i="8"/>
  <c r="G121" i="8"/>
  <c r="N120" i="8"/>
  <c r="M120" i="8"/>
  <c r="J120" i="8"/>
  <c r="G120" i="8"/>
  <c r="N119" i="8"/>
  <c r="M119" i="8"/>
  <c r="J119" i="8"/>
  <c r="G119" i="8"/>
  <c r="N118" i="8"/>
  <c r="M118" i="8"/>
  <c r="J118" i="8"/>
  <c r="G118" i="8"/>
  <c r="N117" i="8"/>
  <c r="M117" i="8"/>
  <c r="J117" i="8"/>
  <c r="G117" i="8"/>
  <c r="N116" i="8"/>
  <c r="M116" i="8"/>
  <c r="J116" i="8"/>
  <c r="G116" i="8"/>
  <c r="N115" i="8"/>
  <c r="M115" i="8"/>
  <c r="J115" i="8"/>
  <c r="G115" i="8"/>
  <c r="N114" i="8"/>
  <c r="M114" i="8"/>
  <c r="J114" i="8"/>
  <c r="G114" i="8"/>
  <c r="N113" i="8"/>
  <c r="M113" i="8"/>
  <c r="J113" i="8"/>
  <c r="G113" i="8"/>
  <c r="N112" i="8"/>
  <c r="M112" i="8"/>
  <c r="J112" i="8"/>
  <c r="G112" i="8"/>
  <c r="N111" i="8"/>
  <c r="M111" i="8"/>
  <c r="J111" i="8"/>
  <c r="G111" i="8"/>
  <c r="N110" i="8"/>
  <c r="M110" i="8"/>
  <c r="J110" i="8"/>
  <c r="G110" i="8"/>
  <c r="N109" i="8"/>
  <c r="M109" i="8"/>
  <c r="J109" i="8"/>
  <c r="G109" i="8"/>
  <c r="N108" i="8"/>
  <c r="M108" i="8"/>
  <c r="J108" i="8"/>
  <c r="G108" i="8"/>
  <c r="N107" i="8"/>
  <c r="M107" i="8"/>
  <c r="J107" i="8"/>
  <c r="G107" i="8"/>
  <c r="N106" i="8"/>
  <c r="M106" i="8"/>
  <c r="J106" i="8"/>
  <c r="G106" i="8"/>
  <c r="N105" i="8"/>
  <c r="M105" i="8"/>
  <c r="J105" i="8"/>
  <c r="G105" i="8"/>
  <c r="N104" i="8"/>
  <c r="M104" i="8"/>
  <c r="J104" i="8"/>
  <c r="G104" i="8"/>
  <c r="N103" i="8"/>
  <c r="M103" i="8"/>
  <c r="J103" i="8"/>
  <c r="G103" i="8"/>
  <c r="N102" i="8"/>
  <c r="M102" i="8"/>
  <c r="J102" i="8"/>
  <c r="G102" i="8"/>
  <c r="N101" i="8"/>
  <c r="M101" i="8"/>
  <c r="J101" i="8"/>
  <c r="G101" i="8"/>
  <c r="N100" i="8"/>
  <c r="M100" i="8"/>
  <c r="J100" i="8"/>
  <c r="G100" i="8"/>
  <c r="N99" i="8"/>
  <c r="M99" i="8"/>
  <c r="J99" i="8"/>
  <c r="G99" i="8"/>
  <c r="N98" i="8"/>
  <c r="M98" i="8"/>
  <c r="J98" i="8"/>
  <c r="G98" i="8"/>
  <c r="N97" i="8"/>
  <c r="M97" i="8"/>
  <c r="J97" i="8"/>
  <c r="G97" i="8"/>
  <c r="N96" i="8"/>
  <c r="M96" i="8"/>
  <c r="J96" i="8"/>
  <c r="G96" i="8"/>
  <c r="N95" i="8"/>
  <c r="M95" i="8"/>
  <c r="J95" i="8"/>
  <c r="G95" i="8"/>
  <c r="N94" i="8"/>
  <c r="M94" i="8"/>
  <c r="J94" i="8"/>
  <c r="G94" i="8"/>
  <c r="N93" i="8"/>
  <c r="M93" i="8"/>
  <c r="J93" i="8"/>
  <c r="G93" i="8"/>
  <c r="N92" i="8"/>
  <c r="M92" i="8"/>
  <c r="J92" i="8"/>
  <c r="G92" i="8"/>
  <c r="N91" i="8"/>
  <c r="M91" i="8"/>
  <c r="J91" i="8"/>
  <c r="G91" i="8"/>
  <c r="N90" i="8"/>
  <c r="M90" i="8"/>
  <c r="J90" i="8"/>
  <c r="G90" i="8"/>
  <c r="N89" i="8"/>
  <c r="M89" i="8"/>
  <c r="J89" i="8"/>
  <c r="G89" i="8"/>
  <c r="N88" i="8"/>
  <c r="M88" i="8"/>
  <c r="J88" i="8"/>
  <c r="G88" i="8"/>
  <c r="N87" i="8"/>
  <c r="M87" i="8"/>
  <c r="J87" i="8"/>
  <c r="G87" i="8"/>
  <c r="N86" i="8"/>
  <c r="M86" i="8"/>
  <c r="J86" i="8"/>
  <c r="G86" i="8"/>
  <c r="N85" i="8"/>
  <c r="M85" i="8"/>
  <c r="J85" i="8"/>
  <c r="G85" i="8"/>
  <c r="N84" i="8"/>
  <c r="M84" i="8"/>
  <c r="J84" i="8"/>
  <c r="G84" i="8"/>
  <c r="N83" i="8"/>
  <c r="M83" i="8"/>
  <c r="J83" i="8"/>
  <c r="G83" i="8"/>
  <c r="N82" i="8"/>
  <c r="M82" i="8"/>
  <c r="J82" i="8"/>
  <c r="G82" i="8"/>
  <c r="N81" i="8"/>
  <c r="M81" i="8"/>
  <c r="J81" i="8"/>
  <c r="G81" i="8"/>
  <c r="N80" i="8"/>
  <c r="M80" i="8"/>
  <c r="J80" i="8"/>
  <c r="G80" i="8"/>
  <c r="N79" i="8"/>
  <c r="M79" i="8"/>
  <c r="J79" i="8"/>
  <c r="G79" i="8"/>
  <c r="N78" i="8"/>
  <c r="M78" i="8"/>
  <c r="J78" i="8"/>
  <c r="G78" i="8"/>
  <c r="N77" i="8"/>
  <c r="M77" i="8"/>
  <c r="J77" i="8"/>
  <c r="G77" i="8"/>
  <c r="N76" i="8"/>
  <c r="M76" i="8"/>
  <c r="J76" i="8"/>
  <c r="G76" i="8"/>
  <c r="N75" i="8"/>
  <c r="M75" i="8"/>
  <c r="J75" i="8"/>
  <c r="G75" i="8"/>
  <c r="N74" i="8"/>
  <c r="M74" i="8"/>
  <c r="J74" i="8"/>
  <c r="G74" i="8"/>
  <c r="N73" i="8"/>
  <c r="M73" i="8"/>
  <c r="J73" i="8"/>
  <c r="G73" i="8"/>
  <c r="N72" i="8"/>
  <c r="M72" i="8"/>
  <c r="J72" i="8"/>
  <c r="G72" i="8"/>
  <c r="N71" i="8"/>
  <c r="M71" i="8"/>
  <c r="J71" i="8"/>
  <c r="G71" i="8"/>
  <c r="N70" i="8"/>
  <c r="M70" i="8"/>
  <c r="J70" i="8"/>
  <c r="G70" i="8"/>
  <c r="N69" i="8"/>
  <c r="M69" i="8"/>
  <c r="J69" i="8"/>
  <c r="G69" i="8"/>
  <c r="N68" i="8"/>
  <c r="M68" i="8"/>
  <c r="J68" i="8"/>
  <c r="G68" i="8"/>
  <c r="N67" i="8"/>
  <c r="M67" i="8"/>
  <c r="J67" i="8"/>
  <c r="G67" i="8"/>
  <c r="N66" i="8"/>
  <c r="M66" i="8"/>
  <c r="J66" i="8"/>
  <c r="G66" i="8"/>
  <c r="N65" i="8"/>
  <c r="M65" i="8"/>
  <c r="J65" i="8"/>
  <c r="G65" i="8"/>
  <c r="N64" i="8"/>
  <c r="M64" i="8"/>
  <c r="J64" i="8"/>
  <c r="G64" i="8"/>
  <c r="N63" i="8"/>
  <c r="M63" i="8"/>
  <c r="J63" i="8"/>
  <c r="G63" i="8"/>
  <c r="N62" i="8"/>
  <c r="M62" i="8"/>
  <c r="J62" i="8"/>
  <c r="G62" i="8"/>
  <c r="N61" i="8"/>
  <c r="M61" i="8"/>
  <c r="J61" i="8"/>
  <c r="G61" i="8"/>
  <c r="N60" i="8"/>
  <c r="M60" i="8"/>
  <c r="J60" i="8"/>
  <c r="G60" i="8"/>
  <c r="N59" i="8"/>
  <c r="M59" i="8"/>
  <c r="J59" i="8"/>
  <c r="G59" i="8"/>
  <c r="N58" i="8"/>
  <c r="M58" i="8"/>
  <c r="J58" i="8"/>
  <c r="G58" i="8"/>
  <c r="N57" i="8"/>
  <c r="M57" i="8"/>
  <c r="J57" i="8"/>
  <c r="G57" i="8"/>
  <c r="N56" i="8"/>
  <c r="M56" i="8"/>
  <c r="J56" i="8"/>
  <c r="G56" i="8"/>
  <c r="N55" i="8"/>
  <c r="M55" i="8"/>
  <c r="J55" i="8"/>
  <c r="G55" i="8"/>
  <c r="N54" i="8"/>
  <c r="M54" i="8"/>
  <c r="J54" i="8"/>
  <c r="G54" i="8"/>
  <c r="N53" i="8"/>
  <c r="M53" i="8"/>
  <c r="J53" i="8"/>
  <c r="G53" i="8"/>
  <c r="N52" i="8"/>
  <c r="M52" i="8"/>
  <c r="J52" i="8"/>
  <c r="G52" i="8"/>
  <c r="N51" i="8"/>
  <c r="M51" i="8"/>
  <c r="J51" i="8"/>
  <c r="G51" i="8"/>
  <c r="N50" i="8"/>
  <c r="M50" i="8"/>
  <c r="J50" i="8"/>
  <c r="G50" i="8"/>
  <c r="N49" i="8"/>
  <c r="M49" i="8"/>
  <c r="J49" i="8"/>
  <c r="G49" i="8"/>
  <c r="N48" i="8"/>
  <c r="M48" i="8"/>
  <c r="J48" i="8"/>
  <c r="G48" i="8"/>
  <c r="N47" i="8"/>
  <c r="M47" i="8"/>
  <c r="J47" i="8"/>
  <c r="G47" i="8"/>
  <c r="N46" i="8"/>
  <c r="M46" i="8"/>
  <c r="J46" i="8"/>
  <c r="G46" i="8"/>
  <c r="N45" i="8"/>
  <c r="M45" i="8"/>
  <c r="J45" i="8"/>
  <c r="G45" i="8"/>
  <c r="N44" i="8"/>
  <c r="M44" i="8"/>
  <c r="J44" i="8"/>
  <c r="G44" i="8"/>
  <c r="N43" i="8"/>
  <c r="M43" i="8"/>
  <c r="J43" i="8"/>
  <c r="G43" i="8"/>
  <c r="N42" i="8"/>
  <c r="M42" i="8"/>
  <c r="J42" i="8"/>
  <c r="G42" i="8"/>
  <c r="N41" i="8"/>
  <c r="M41" i="8"/>
  <c r="J41" i="8"/>
  <c r="G41" i="8"/>
  <c r="N40" i="8"/>
  <c r="M40" i="8"/>
  <c r="J40" i="8"/>
  <c r="G40" i="8"/>
  <c r="N39" i="8"/>
  <c r="M39" i="8"/>
  <c r="J39" i="8"/>
  <c r="G39" i="8"/>
  <c r="N38" i="8"/>
  <c r="M38" i="8"/>
  <c r="J38" i="8"/>
  <c r="G38" i="8"/>
  <c r="N37" i="8"/>
  <c r="M37" i="8"/>
  <c r="J37" i="8"/>
  <c r="G37" i="8"/>
  <c r="N36" i="8"/>
  <c r="M36" i="8"/>
  <c r="J36" i="8"/>
  <c r="G36" i="8"/>
  <c r="N35" i="8"/>
  <c r="M35" i="8"/>
  <c r="J35" i="8"/>
  <c r="G35" i="8"/>
  <c r="N34" i="8"/>
  <c r="M34" i="8"/>
  <c r="J34" i="8"/>
  <c r="G34" i="8"/>
  <c r="N33" i="8"/>
  <c r="M33" i="8"/>
  <c r="J33" i="8"/>
  <c r="G33" i="8"/>
  <c r="N32" i="8"/>
  <c r="M32" i="8"/>
  <c r="J32" i="8"/>
  <c r="G32" i="8"/>
  <c r="N31" i="8"/>
  <c r="M31" i="8"/>
  <c r="J31" i="8"/>
  <c r="G31" i="8"/>
  <c r="N30" i="8"/>
  <c r="M30" i="8"/>
  <c r="J30" i="8"/>
  <c r="G30" i="8"/>
  <c r="N29" i="8"/>
  <c r="M29" i="8"/>
  <c r="J29" i="8"/>
  <c r="G29" i="8"/>
  <c r="N28" i="8"/>
  <c r="M28" i="8"/>
  <c r="J28" i="8"/>
  <c r="G28" i="8"/>
  <c r="N27" i="8"/>
  <c r="M27" i="8"/>
  <c r="J27" i="8"/>
  <c r="G27" i="8"/>
  <c r="N26" i="8"/>
  <c r="M26" i="8"/>
  <c r="J26" i="8"/>
  <c r="G26" i="8"/>
  <c r="N25" i="8"/>
  <c r="M25" i="8"/>
  <c r="J25" i="8"/>
  <c r="G25" i="8"/>
  <c r="N24" i="8"/>
  <c r="L24" i="8"/>
  <c r="K24" i="8"/>
  <c r="I24" i="8"/>
  <c r="H24" i="8"/>
  <c r="F24" i="8"/>
  <c r="E24" i="8"/>
  <c r="N23" i="8"/>
  <c r="M23" i="8"/>
  <c r="J23" i="8"/>
  <c r="G23" i="8"/>
  <c r="N22" i="8"/>
  <c r="M22" i="8"/>
  <c r="J22" i="8"/>
  <c r="G22" i="8"/>
  <c r="N21" i="8"/>
  <c r="M21" i="8"/>
  <c r="J21" i="8"/>
  <c r="G21" i="8"/>
  <c r="N20" i="8"/>
  <c r="M20" i="8"/>
  <c r="J20" i="8"/>
  <c r="G20" i="8"/>
  <c r="N19" i="8"/>
  <c r="M19" i="8"/>
  <c r="J19" i="8"/>
  <c r="G19" i="8"/>
  <c r="N18" i="8"/>
  <c r="M18" i="8"/>
  <c r="J18" i="8"/>
  <c r="G18" i="8"/>
  <c r="N17" i="8"/>
  <c r="M17" i="8"/>
  <c r="J17" i="8"/>
  <c r="G17" i="8"/>
  <c r="N16" i="8"/>
  <c r="M16" i="8"/>
  <c r="J16" i="8"/>
  <c r="G16" i="8"/>
  <c r="N15" i="8"/>
  <c r="M15" i="8"/>
  <c r="J15" i="8"/>
  <c r="G15" i="8"/>
  <c r="N14" i="8"/>
  <c r="M14" i="8"/>
  <c r="J14" i="8"/>
  <c r="G14" i="8"/>
  <c r="N13" i="8"/>
  <c r="M13" i="8"/>
  <c r="J13" i="8"/>
  <c r="G13" i="8"/>
  <c r="N12" i="8"/>
  <c r="M12" i="8"/>
  <c r="J12" i="8"/>
  <c r="G12" i="8"/>
  <c r="N11" i="8"/>
  <c r="M11" i="8"/>
  <c r="J11" i="8"/>
  <c r="G11" i="8"/>
  <c r="N10" i="8"/>
  <c r="M10" i="8"/>
  <c r="J10" i="8"/>
  <c r="G10" i="8"/>
  <c r="N9" i="8"/>
  <c r="M9" i="8"/>
  <c r="J9" i="8"/>
  <c r="G9" i="8"/>
  <c r="N8" i="8"/>
  <c r="M8" i="8"/>
  <c r="J8" i="8"/>
  <c r="G8" i="8"/>
  <c r="N7" i="8"/>
  <c r="M7" i="8"/>
  <c r="J7" i="8"/>
  <c r="G7" i="8"/>
  <c r="N6" i="8"/>
  <c r="M6" i="8"/>
  <c r="J6" i="8"/>
  <c r="G6" i="8"/>
  <c r="N5" i="8"/>
  <c r="M5" i="8"/>
  <c r="J5" i="8"/>
  <c r="G5" i="8"/>
  <c r="I26" i="10" l="1"/>
  <c r="I25" i="10" s="1"/>
  <c r="D11" i="19" a="1"/>
  <c r="D11" i="19" s="1"/>
  <c r="I12" i="11"/>
  <c r="I3" i="11"/>
  <c r="I9" i="11"/>
  <c r="I8" i="10"/>
  <c r="I14" i="10"/>
  <c r="I12" i="10" s="1"/>
  <c r="M24" i="8"/>
  <c r="G24" i="8"/>
  <c r="J24" i="8"/>
  <c r="F18" i="19"/>
  <c r="E18" i="19"/>
  <c r="E15" i="19"/>
  <c r="F15" i="19"/>
  <c r="E13" i="19"/>
  <c r="F13" i="19"/>
  <c r="F12" i="19"/>
  <c r="E12" i="19"/>
  <c r="F10" i="19"/>
  <c r="E10" i="19"/>
  <c r="E9" i="19"/>
  <c r="F9" i="19"/>
  <c r="F6" i="19"/>
  <c r="E6" i="19"/>
  <c r="F5" i="19"/>
  <c r="E5" i="19"/>
  <c r="F4" i="19"/>
  <c r="E4" i="19"/>
  <c r="I5" i="10"/>
  <c r="I2" i="11" l="1"/>
  <c r="I22" i="11" s="1"/>
  <c r="G16" i="11"/>
  <c r="K16" i="11" s="1"/>
  <c r="G6" i="10"/>
  <c r="G24" i="10"/>
  <c r="G23" i="10" s="1"/>
  <c r="G22" i="10" s="1"/>
  <c r="G23" i="11"/>
  <c r="K23" i="11" s="1"/>
  <c r="G4" i="10"/>
  <c r="G5" i="10"/>
  <c r="G9" i="10"/>
  <c r="G5" i="11"/>
  <c r="K5" i="11" s="1"/>
  <c r="G24" i="11"/>
  <c r="K24" i="11" s="1"/>
  <c r="F16" i="10"/>
  <c r="F19" i="11"/>
  <c r="F6" i="11"/>
  <c r="F14" i="11"/>
  <c r="F17" i="11"/>
  <c r="F13" i="11"/>
  <c r="F4" i="10"/>
  <c r="F4" i="11"/>
  <c r="F7" i="11"/>
  <c r="F15" i="11"/>
  <c r="F7" i="10"/>
  <c r="F5" i="10"/>
  <c r="F6" i="10"/>
  <c r="F9" i="10"/>
  <c r="F24" i="10"/>
  <c r="F23" i="10" s="1"/>
  <c r="F22" i="10" s="1"/>
  <c r="F27" i="10"/>
  <c r="F28" i="10"/>
  <c r="F5" i="11"/>
  <c r="F8" i="11"/>
  <c r="F16" i="11"/>
  <c r="I3" i="10"/>
  <c r="I2" i="10" s="1"/>
  <c r="I20" i="10" s="1"/>
  <c r="I18" i="10" s="1"/>
  <c r="I17" i="10" s="1"/>
  <c r="G27" i="10"/>
  <c r="G20" i="11"/>
  <c r="K20" i="11" s="1"/>
  <c r="G7" i="10"/>
  <c r="G10" i="10"/>
  <c r="G11" i="10"/>
  <c r="G13" i="10"/>
  <c r="G15" i="10"/>
  <c r="G16" i="10"/>
  <c r="G13" i="11"/>
  <c r="K13" i="11" s="1"/>
  <c r="G14" i="11"/>
  <c r="K14" i="11" s="1"/>
  <c r="G15" i="11"/>
  <c r="K15" i="11" s="1"/>
  <c r="E24" i="11"/>
  <c r="E16" i="11"/>
  <c r="E17" i="11"/>
  <c r="E16" i="10"/>
  <c r="E19" i="10"/>
  <c r="H19" i="10" s="1"/>
  <c r="J19" i="10" s="1"/>
  <c r="C21" i="14" s="1"/>
  <c r="E21" i="14" s="1"/>
  <c r="E13" i="11"/>
  <c r="E19" i="11"/>
  <c r="E4" i="10"/>
  <c r="E5" i="10"/>
  <c r="E6" i="10"/>
  <c r="E7" i="10"/>
  <c r="E9" i="10"/>
  <c r="E10" i="10"/>
  <c r="E11" i="10"/>
  <c r="E13" i="10"/>
  <c r="E15" i="10"/>
  <c r="E24" i="10"/>
  <c r="E27" i="10"/>
  <c r="E28" i="10"/>
  <c r="E4" i="11"/>
  <c r="E5" i="11"/>
  <c r="E6" i="11"/>
  <c r="E7" i="11"/>
  <c r="E8" i="11"/>
  <c r="E10" i="11"/>
  <c r="E11" i="11"/>
  <c r="E18" i="11"/>
  <c r="E20" i="11"/>
  <c r="E23" i="11"/>
  <c r="F15" i="10"/>
  <c r="F10" i="10"/>
  <c r="G19" i="11"/>
  <c r="K19" i="11" s="1"/>
  <c r="G28" i="10"/>
  <c r="E14" i="11"/>
  <c r="E15" i="11"/>
  <c r="G6" i="11"/>
  <c r="G4" i="11"/>
  <c r="F13" i="10"/>
  <c r="F11" i="10"/>
  <c r="G18" i="11"/>
  <c r="K18" i="11" s="1"/>
  <c r="G7" i="11"/>
  <c r="F20" i="11"/>
  <c r="F23" i="11"/>
  <c r="F24" i="11"/>
  <c r="G17" i="11"/>
  <c r="G11" i="11"/>
  <c r="F11" i="11"/>
  <c r="F10" i="11"/>
  <c r="F18" i="11"/>
  <c r="G10" i="11"/>
  <c r="G8" i="11"/>
  <c r="I25" i="11"/>
  <c r="I21" i="11"/>
  <c r="E11" i="19"/>
  <c r="F11" i="19"/>
  <c r="H16" i="10" l="1"/>
  <c r="J16" i="10" s="1"/>
  <c r="C15" i="14" s="1"/>
  <c r="E15" i="14" s="1"/>
  <c r="E9" i="11"/>
  <c r="F14" i="10"/>
  <c r="F12" i="10" s="1"/>
  <c r="F26" i="10"/>
  <c r="F25" i="10" s="1"/>
  <c r="H14" i="11"/>
  <c r="J14" i="11" s="1"/>
  <c r="H24" i="11"/>
  <c r="J24" i="11" s="1"/>
  <c r="G8" i="10"/>
  <c r="G3" i="10" s="1"/>
  <c r="G14" i="10"/>
  <c r="G12" i="10" s="1"/>
  <c r="H16" i="11"/>
  <c r="J16" i="11" s="1"/>
  <c r="H13" i="11"/>
  <c r="J13" i="11" s="1"/>
  <c r="L13" i="11" s="1"/>
  <c r="H19" i="11"/>
  <c r="J19" i="11" s="1"/>
  <c r="L19" i="11" s="1"/>
  <c r="H4" i="10"/>
  <c r="J4" i="10" s="1"/>
  <c r="F8" i="10"/>
  <c r="F3" i="10" s="1"/>
  <c r="H5" i="10"/>
  <c r="J5" i="10" s="1"/>
  <c r="C10" i="14" s="1"/>
  <c r="E10" i="14" s="1"/>
  <c r="H6" i="10"/>
  <c r="J6" i="10" s="1"/>
  <c r="H7" i="10"/>
  <c r="J7" i="10" s="1"/>
  <c r="H10" i="10"/>
  <c r="J10" i="10" s="1"/>
  <c r="E3" i="11"/>
  <c r="H15" i="11"/>
  <c r="J15" i="11" s="1"/>
  <c r="L15" i="11" s="1"/>
  <c r="H20" i="11"/>
  <c r="J20" i="11" s="1"/>
  <c r="L20" i="11" s="1"/>
  <c r="H23" i="11"/>
  <c r="J23" i="11" s="1"/>
  <c r="F3" i="11"/>
  <c r="H5" i="11"/>
  <c r="J5" i="11" s="1"/>
  <c r="H13" i="10"/>
  <c r="J13" i="10" s="1"/>
  <c r="H11" i="10"/>
  <c r="J11" i="10" s="1"/>
  <c r="H17" i="11"/>
  <c r="J17" i="11" s="1"/>
  <c r="E8" i="10"/>
  <c r="H9" i="10"/>
  <c r="J9" i="10" s="1"/>
  <c r="C11" i="14" s="1"/>
  <c r="E11" i="14" s="1"/>
  <c r="E14" i="10"/>
  <c r="H15" i="10"/>
  <c r="J15" i="10" s="1"/>
  <c r="E23" i="10"/>
  <c r="H24" i="10"/>
  <c r="J24" i="10" s="1"/>
  <c r="E26" i="10"/>
  <c r="E25" i="10" s="1"/>
  <c r="H27" i="10"/>
  <c r="J27" i="10" s="1"/>
  <c r="E12" i="11"/>
  <c r="G26" i="10"/>
  <c r="H28" i="10"/>
  <c r="J28" i="10" s="1"/>
  <c r="F9" i="11"/>
  <c r="K6" i="11"/>
  <c r="H6" i="11"/>
  <c r="J6" i="11" s="1"/>
  <c r="H4" i="11"/>
  <c r="J4" i="11" s="1"/>
  <c r="C9" i="15" s="1"/>
  <c r="E9" i="15" s="1"/>
  <c r="K4" i="11"/>
  <c r="K7" i="11"/>
  <c r="H7" i="11"/>
  <c r="J7" i="11" s="1"/>
  <c r="K17" i="11"/>
  <c r="G12" i="11"/>
  <c r="K12" i="11" s="1"/>
  <c r="K11" i="11"/>
  <c r="H11" i="11"/>
  <c r="J11" i="11" s="1"/>
  <c r="H18" i="11"/>
  <c r="J18" i="11" s="1"/>
  <c r="C20" i="15" s="1"/>
  <c r="E20" i="15" s="1"/>
  <c r="F12" i="11"/>
  <c r="G9" i="11"/>
  <c r="K10" i="11"/>
  <c r="H10" i="11"/>
  <c r="J10" i="11" s="1"/>
  <c r="K8" i="11"/>
  <c r="G3" i="11"/>
  <c r="H8" i="11"/>
  <c r="J8" i="11" s="1"/>
  <c r="E2" i="11" l="1"/>
  <c r="E22" i="11" s="1"/>
  <c r="F2" i="11"/>
  <c r="L4" i="11"/>
  <c r="L23" i="11"/>
  <c r="C13" i="12"/>
  <c r="B18" i="16" s="1"/>
  <c r="L14" i="11"/>
  <c r="C17" i="15"/>
  <c r="E17" i="15" s="1"/>
  <c r="L24" i="11"/>
  <c r="C26" i="15"/>
  <c r="E26" i="15" s="1"/>
  <c r="G2" i="10"/>
  <c r="L17" i="11"/>
  <c r="H3" i="11"/>
  <c r="J3" i="11" s="1"/>
  <c r="F22" i="11"/>
  <c r="L16" i="11"/>
  <c r="C18" i="15"/>
  <c r="E18" i="15" s="1"/>
  <c r="C16" i="12"/>
  <c r="B22" i="16" s="1"/>
  <c r="C9" i="14"/>
  <c r="E9" i="14" s="1"/>
  <c r="C10" i="15"/>
  <c r="E10" i="15" s="1"/>
  <c r="L5" i="11"/>
  <c r="C6" i="12"/>
  <c r="B11" i="16" s="1"/>
  <c r="C21" i="12"/>
  <c r="B28" i="16" s="1"/>
  <c r="C19" i="15"/>
  <c r="E19" i="15" s="1"/>
  <c r="C29" i="14"/>
  <c r="E29" i="14" s="1"/>
  <c r="D3" i="19"/>
  <c r="E3" i="10"/>
  <c r="H8" i="10"/>
  <c r="J8" i="10" s="1"/>
  <c r="E12" i="10"/>
  <c r="H12" i="10" s="1"/>
  <c r="J12" i="10" s="1"/>
  <c r="H14" i="10"/>
  <c r="J14" i="10" s="1"/>
  <c r="C10" i="12"/>
  <c r="B15" i="16" s="1"/>
  <c r="C14" i="14"/>
  <c r="E14" i="14" s="1"/>
  <c r="H23" i="10"/>
  <c r="J23" i="10" s="1"/>
  <c r="E22" i="10"/>
  <c r="H22" i="10" s="1"/>
  <c r="J22" i="10" s="1"/>
  <c r="C20" i="12"/>
  <c r="C26" i="14"/>
  <c r="E26" i="14" s="1"/>
  <c r="C30" i="14"/>
  <c r="E30" i="14" s="1"/>
  <c r="C11" i="12"/>
  <c r="B16" i="16" s="1"/>
  <c r="L11" i="11"/>
  <c r="H12" i="11"/>
  <c r="J12" i="11" s="1"/>
  <c r="L7" i="11"/>
  <c r="G25" i="10"/>
  <c r="H26" i="10"/>
  <c r="J26" i="10" s="1"/>
  <c r="F2" i="10"/>
  <c r="F20" i="10" s="1"/>
  <c r="F18" i="10" s="1"/>
  <c r="F17" i="10" s="1"/>
  <c r="L6" i="11"/>
  <c r="C11" i="15"/>
  <c r="E11" i="15" s="1"/>
  <c r="L8" i="11"/>
  <c r="L18" i="11"/>
  <c r="C5" i="12"/>
  <c r="B10" i="16" s="1"/>
  <c r="K9" i="11"/>
  <c r="H9" i="11"/>
  <c r="J9" i="11" s="1"/>
  <c r="L10" i="11"/>
  <c r="C7" i="12"/>
  <c r="B12" i="16" s="1"/>
  <c r="C17" i="12"/>
  <c r="K3" i="11"/>
  <c r="G2" i="11"/>
  <c r="L3" i="11" l="1"/>
  <c r="C8" i="15"/>
  <c r="E8" i="15" s="1"/>
  <c r="C12" i="15"/>
  <c r="F21" i="11"/>
  <c r="F25" i="11"/>
  <c r="E3" i="19"/>
  <c r="F3" i="19"/>
  <c r="C16" i="14"/>
  <c r="E16" i="14" s="1"/>
  <c r="C13" i="14"/>
  <c r="E13" i="14" s="1"/>
  <c r="E2" i="10"/>
  <c r="H3" i="10"/>
  <c r="J3" i="10" s="1"/>
  <c r="C25" i="14"/>
  <c r="E25" i="14" s="1"/>
  <c r="C27" i="14"/>
  <c r="E27" i="14" s="1"/>
  <c r="C22" i="12"/>
  <c r="B29" i="16" s="1"/>
  <c r="B27" i="16"/>
  <c r="C22" i="15"/>
  <c r="E22" i="15" s="1"/>
  <c r="C21" i="15"/>
  <c r="E21" i="15" s="1"/>
  <c r="L12" i="11"/>
  <c r="H25" i="10"/>
  <c r="J25" i="10" s="1"/>
  <c r="G21" i="10"/>
  <c r="B23" i="16"/>
  <c r="C18" i="12"/>
  <c r="B24" i="16" s="1"/>
  <c r="H2" i="11"/>
  <c r="J2" i="11" s="1"/>
  <c r="C14" i="15" s="1"/>
  <c r="E14" i="15" s="1"/>
  <c r="K2" i="11"/>
  <c r="G22" i="11"/>
  <c r="K22" i="11" s="1"/>
  <c r="C13" i="15"/>
  <c r="E13" i="15" s="1"/>
  <c r="L9" i="11"/>
  <c r="E25" i="11"/>
  <c r="E21" i="11"/>
  <c r="E12" i="15" l="1"/>
  <c r="B15" i="1"/>
  <c r="D15" i="1" s="1"/>
  <c r="L2" i="11"/>
  <c r="H2" i="10"/>
  <c r="J2" i="10" s="1"/>
  <c r="C17" i="14" s="1"/>
  <c r="E20" i="10"/>
  <c r="E18" i="10" s="1"/>
  <c r="E17" i="10" s="1"/>
  <c r="C12" i="14"/>
  <c r="E12" i="14" s="1"/>
  <c r="C8" i="14"/>
  <c r="E8" i="14" s="1"/>
  <c r="C28" i="14"/>
  <c r="E28" i="14" s="1"/>
  <c r="C31" i="14"/>
  <c r="E31" i="14" s="1"/>
  <c r="G20" i="10"/>
  <c r="H21" i="10"/>
  <c r="J21" i="10" s="1"/>
  <c r="C23" i="14" s="1"/>
  <c r="E23" i="14" s="1"/>
  <c r="H22" i="11"/>
  <c r="J22" i="11" s="1"/>
  <c r="G25" i="11"/>
  <c r="G21" i="11"/>
  <c r="E17" i="14" l="1"/>
  <c r="B19" i="1"/>
  <c r="D19" i="1" s="1"/>
  <c r="H20" i="10"/>
  <c r="J20" i="10" s="1"/>
  <c r="C22" i="14" s="1"/>
  <c r="E22" i="14" s="1"/>
  <c r="G18" i="10"/>
  <c r="L22" i="11"/>
  <c r="C3" i="12"/>
  <c r="C25" i="15"/>
  <c r="K25" i="11"/>
  <c r="H25" i="11"/>
  <c r="J25" i="11" s="1"/>
  <c r="K21" i="11"/>
  <c r="H21" i="11"/>
  <c r="J21" i="11" s="1"/>
  <c r="E25" i="15" l="1"/>
  <c r="B17" i="1"/>
  <c r="D17" i="1" s="1"/>
  <c r="C8" i="12"/>
  <c r="B8" i="16"/>
  <c r="H27" i="11"/>
  <c r="J27" i="11"/>
  <c r="H18" i="10"/>
  <c r="J18" i="10" s="1"/>
  <c r="G17" i="10"/>
  <c r="H17" i="10" s="1"/>
  <c r="J17" i="10" s="1"/>
  <c r="L25" i="11"/>
  <c r="C27" i="15"/>
  <c r="C32" i="15"/>
  <c r="L21" i="11"/>
  <c r="C23" i="15"/>
  <c r="J26" i="11" l="1"/>
  <c r="H26" i="11"/>
  <c r="C12" i="12"/>
  <c r="B13" i="16"/>
  <c r="K27" i="11"/>
  <c r="C31" i="15"/>
  <c r="C24" i="14"/>
  <c r="C20" i="14"/>
  <c r="E20" i="14" s="1"/>
  <c r="E27" i="15"/>
  <c r="B18" i="1"/>
  <c r="D18" i="1" s="1"/>
  <c r="E23" i="15"/>
  <c r="B16" i="1"/>
  <c r="D16" i="1" s="1"/>
  <c r="C32" i="14"/>
  <c r="E32" i="14" s="1"/>
  <c r="D2" i="19"/>
  <c r="E2" i="19" s="1"/>
  <c r="L26" i="11" l="1"/>
  <c r="C30" i="15"/>
  <c r="D8" i="19"/>
  <c r="C14" i="12"/>
  <c r="B17" i="16"/>
  <c r="B20" i="1"/>
  <c r="D20" i="1" s="1"/>
  <c r="E24" i="14"/>
  <c r="F8" i="19" l="1"/>
  <c r="E8" i="19"/>
  <c r="C24" i="12"/>
  <c r="B19" i="16"/>
  <c r="C25" i="12" l="1"/>
  <c r="B31" i="16"/>
  <c r="B32" i="16" l="1"/>
  <c r="C26" i="12"/>
  <c r="D7" i="19" l="1"/>
  <c r="B33" i="16"/>
  <c r="D14" i="19"/>
  <c r="D17" i="19" l="1" a="1"/>
  <c r="D17" i="19" s="1"/>
  <c r="D16" i="19"/>
  <c r="E7" i="19"/>
  <c r="F7" i="19"/>
  <c r="F14" i="19"/>
  <c r="E14" i="19"/>
  <c r="E17" i="19" l="1"/>
  <c r="F17" i="19"/>
  <c r="F16" i="19"/>
  <c r="E16" i="19"/>
  <c r="B12" i="1" l="1"/>
  <c r="C12" i="1" s="1"/>
  <c r="B35" i="1"/>
  <c r="C35" i="1" s="1"/>
  <c r="C30" i="19"/>
  <c r="G2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A21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NCI Structure:
Opening NCI
+ Share of Profit (from P&amp;L)
- Dividends to NCI
= Closing NCI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<sst xmlns="http://schemas.openxmlformats.org/spreadsheetml/2006/main" count="1459" uniqueCount="719">
  <si>
    <t>RENEWABLE ENERGY CONSOLIDATION MODEL</t>
  </si>
  <si>
    <t>Dashboard &amp; Control Panel</t>
  </si>
  <si>
    <t>Report Generated:</t>
  </si>
  <si>
    <t>REPORTING PERIOD SETTINGS</t>
  </si>
  <si>
    <t>Current Period:</t>
  </si>
  <si>
    <t>Jan-2024</t>
  </si>
  <si>
    <t>[Use dropdown from Period_Control]</t>
  </si>
  <si>
    <t>Comparison Period:</t>
  </si>
  <si>
    <t>Dec-2023</t>
  </si>
  <si>
    <t>Display Mode:</t>
  </si>
  <si>
    <t>Monthly</t>
  </si>
  <si>
    <t>[Monthly/Quarterly/Annual]</t>
  </si>
  <si>
    <t>Reporting Currency:</t>
  </si>
  <si>
    <t>INR</t>
  </si>
  <si>
    <t>Validation Status:</t>
  </si>
  <si>
    <t>Metric</t>
  </si>
  <si>
    <t>Current</t>
  </si>
  <si>
    <t>Previous</t>
  </si>
  <si>
    <t>Change</t>
  </si>
  <si>
    <t>Change %</t>
  </si>
  <si>
    <t>Total Revenue</t>
  </si>
  <si>
    <t>EBITDA</t>
  </si>
  <si>
    <t>Profit before Tax</t>
  </si>
  <si>
    <t>Profit after Tax</t>
  </si>
  <si>
    <t>Total Assets</t>
  </si>
  <si>
    <t>Total Equity</t>
  </si>
  <si>
    <t>Net Debt</t>
  </si>
  <si>
    <t>NAVIGATION</t>
  </si>
  <si>
    <t>Go to Entity Master</t>
  </si>
  <si>
    <t>Go to Asset Master</t>
  </si>
  <si>
    <t>Go to TB Input</t>
  </si>
  <si>
    <t>Go to Balance Sheet</t>
  </si>
  <si>
    <t>Go to P&amp;L Statement</t>
  </si>
  <si>
    <t>Go to Cash Flow</t>
  </si>
  <si>
    <t>Go to Validation</t>
  </si>
  <si>
    <t>VALIDATION STATUS</t>
  </si>
  <si>
    <t>Validation Checks Failed:</t>
  </si>
  <si>
    <t>Entity_ID</t>
  </si>
  <si>
    <t>Entity_Name</t>
  </si>
  <si>
    <t>Entity_Type</t>
  </si>
  <si>
    <t>Parent_Entity_ID</t>
  </si>
  <si>
    <t>Ownership_%</t>
  </si>
  <si>
    <t>Effective_Ownership_%</t>
  </si>
  <si>
    <t>Consolidation_Method</t>
  </si>
  <si>
    <t>Principal_Activity</t>
  </si>
  <si>
    <t>Incorporation_Date</t>
  </si>
  <si>
    <t>Active_Status</t>
  </si>
  <si>
    <t>Reporting_Currency</t>
  </si>
  <si>
    <t>Primary_Segment</t>
  </si>
  <si>
    <t>Notes</t>
  </si>
  <si>
    <t>E001</t>
  </si>
  <si>
    <t>Parent Renewable Ltd</t>
  </si>
  <si>
    <t>Parent</t>
  </si>
  <si>
    <t>-</t>
  </si>
  <si>
    <t>Full</t>
  </si>
  <si>
    <t>EPC &amp; Power Generation</t>
  </si>
  <si>
    <t>Active</t>
  </si>
  <si>
    <t>EPC</t>
  </si>
  <si>
    <t>E002</t>
  </si>
  <si>
    <t>Solar SPV 1 Ltd</t>
  </si>
  <si>
    <t>SPV</t>
  </si>
  <si>
    <t>Solar Power Generation</t>
  </si>
  <si>
    <t>Power Generation</t>
  </si>
  <si>
    <t>100% owned</t>
  </si>
  <si>
    <t>E003</t>
  </si>
  <si>
    <t>Solar SPV 2 Ltd</t>
  </si>
  <si>
    <t>60% owned, 40% NCI</t>
  </si>
  <si>
    <t>E004</t>
  </si>
  <si>
    <t>Wind JV Pvt Ltd</t>
  </si>
  <si>
    <t>JV</t>
  </si>
  <si>
    <t>Equity</t>
  </si>
  <si>
    <t>Wind Power Generation</t>
  </si>
  <si>
    <t>Joint Venture</t>
  </si>
  <si>
    <t>E005</t>
  </si>
  <si>
    <t>Biogas Associate Ltd</t>
  </si>
  <si>
    <t>Associate</t>
  </si>
  <si>
    <t>Biogas Power Generation</t>
  </si>
  <si>
    <t>Associate company</t>
  </si>
  <si>
    <t>Asset_ID</t>
  </si>
  <si>
    <t>Asset_Name</t>
  </si>
  <si>
    <t>Category</t>
  </si>
  <si>
    <t>Type</t>
  </si>
  <si>
    <t>Sub_Type</t>
  </si>
  <si>
    <t>Capacity_MW</t>
  </si>
  <si>
    <t>Capacity_Unit</t>
  </si>
  <si>
    <t>Location</t>
  </si>
  <si>
    <t>COD_Date</t>
  </si>
  <si>
    <t>Asset_Status</t>
  </si>
  <si>
    <t>Customer_Type</t>
  </si>
  <si>
    <t>PPA_Rate</t>
  </si>
  <si>
    <t>PPA_Term_Years</t>
  </si>
  <si>
    <t>Estimated_Cost_Cr</t>
  </si>
  <si>
    <t>Debt_Equity_Ratio</t>
  </si>
  <si>
    <t>A001</t>
  </si>
  <si>
    <t>Mumbai Rooftop Solar Project</t>
  </si>
  <si>
    <t>Solar</t>
  </si>
  <si>
    <t>Rooftop</t>
  </si>
  <si>
    <t>C&amp;I</t>
  </si>
  <si>
    <t>MW</t>
  </si>
  <si>
    <t>Maharashtra, Mumbai</t>
  </si>
  <si>
    <t>Operational</t>
  </si>
  <si>
    <t>70:30</t>
  </si>
  <si>
    <t>Commissioned June 2021</t>
  </si>
  <si>
    <t>A002</t>
  </si>
  <si>
    <t>Gujarat Utility Solar Plant</t>
  </si>
  <si>
    <t>Utility Scale</t>
  </si>
  <si>
    <t>PSU Direct</t>
  </si>
  <si>
    <t>Gujarat, Kutch</t>
  </si>
  <si>
    <t>PSU</t>
  </si>
  <si>
    <t>75:25</t>
  </si>
  <si>
    <t>Feed-in to state grid</t>
  </si>
  <si>
    <t>A003</t>
  </si>
  <si>
    <t>Pune BESS Project</t>
  </si>
  <si>
    <t>BESS</t>
  </si>
  <si>
    <t>Standalone</t>
  </si>
  <si>
    <t>MWh</t>
  </si>
  <si>
    <t>Maharashtra, Pune</t>
  </si>
  <si>
    <t>CWIP</t>
  </si>
  <si>
    <t>60:40</t>
  </si>
  <si>
    <t>Under construction</t>
  </si>
  <si>
    <t>A004</t>
  </si>
  <si>
    <t>CBG Plant - Sangli</t>
  </si>
  <si>
    <t>Biogas</t>
  </si>
  <si>
    <t>CBG Plants</t>
  </si>
  <si>
    <t>TPD</t>
  </si>
  <si>
    <t>Maharashtra, Sangli</t>
  </si>
  <si>
    <t>Merchant</t>
  </si>
  <si>
    <t>50:50</t>
  </si>
  <si>
    <t>Compressed biogas production</t>
  </si>
  <si>
    <t>Entity_Types</t>
  </si>
  <si>
    <t>Asset_Category</t>
  </si>
  <si>
    <t>Solar_Type</t>
  </si>
  <si>
    <t>Rooftop_SubType</t>
  </si>
  <si>
    <t>UtilityScale_SubType</t>
  </si>
  <si>
    <t>Biogas_Type</t>
  </si>
  <si>
    <t>BESS_Type</t>
  </si>
  <si>
    <t>Currency_List</t>
  </si>
  <si>
    <t>Business_Segment</t>
  </si>
  <si>
    <t>Period_Month</t>
  </si>
  <si>
    <t>Period_Quarter</t>
  </si>
  <si>
    <t>Period_Year</t>
  </si>
  <si>
    <t>Discom</t>
  </si>
  <si>
    <t>Q1-FY24</t>
  </si>
  <si>
    <t>FY2024</t>
  </si>
  <si>
    <t>Residential</t>
  </si>
  <si>
    <t>Govt/PSU Direct</t>
  </si>
  <si>
    <t>Portable Units</t>
  </si>
  <si>
    <t>Solar + BESS</t>
  </si>
  <si>
    <t>Inactive</t>
  </si>
  <si>
    <t>USD</t>
  </si>
  <si>
    <t>Feb-2024</t>
  </si>
  <si>
    <t>Q2-FY24</t>
  </si>
  <si>
    <t>FY2025</t>
  </si>
  <si>
    <t>Floating Solar</t>
  </si>
  <si>
    <t>Govt/PSU</t>
  </si>
  <si>
    <t>Subcontract</t>
  </si>
  <si>
    <t>Gas Upgradation</t>
  </si>
  <si>
    <t>Others</t>
  </si>
  <si>
    <t>Disposed</t>
  </si>
  <si>
    <t>EUR</t>
  </si>
  <si>
    <t>None</t>
  </si>
  <si>
    <t>O&amp;M Services</t>
  </si>
  <si>
    <t>Mar-2024</t>
  </si>
  <si>
    <t>Q3-FY24</t>
  </si>
  <si>
    <t>Hybrid</t>
  </si>
  <si>
    <t>Solar Water Pumping</t>
  </si>
  <si>
    <t>Rehab Plants</t>
  </si>
  <si>
    <t>Captive</t>
  </si>
  <si>
    <t>Product Sales</t>
  </si>
  <si>
    <t>Apr-2024</t>
  </si>
  <si>
    <t>Q4-FY24</t>
  </si>
  <si>
    <t>Wind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</si>
  <si>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</si>
  <si>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</si>
  <si>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</si>
  <si>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</si>
  <si>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</si>
  <si>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</si>
  <si>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</si>
  <si>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</si>
  <si>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FS_Line_Code</t>
  </si>
  <si>
    <t>FS_Line_Name</t>
  </si>
  <si>
    <t>FS_Section</t>
  </si>
  <si>
    <t>FS_Sub_Section</t>
  </si>
  <si>
    <t>Display_Order</t>
  </si>
  <si>
    <t>Indent_Level</t>
  </si>
  <si>
    <t>Account_Pattern</t>
  </si>
  <si>
    <t>Account_Nature</t>
  </si>
  <si>
    <t>Rollup_Parent</t>
  </si>
  <si>
    <t>Include_in_Total</t>
  </si>
  <si>
    <t>Bold_Format</t>
  </si>
  <si>
    <t>BS_A_000</t>
  </si>
  <si>
    <t>TOTAL ASSETS</t>
  </si>
  <si>
    <t>Assets</t>
  </si>
  <si>
    <t>Total</t>
  </si>
  <si>
    <t>Debit</t>
  </si>
  <si>
    <t>Yes</t>
  </si>
  <si>
    <t>Top level total</t>
  </si>
  <si>
    <t>BS_A_100</t>
  </si>
  <si>
    <t>Non-Current Assets</t>
  </si>
  <si>
    <t>Non-Current</t>
  </si>
  <si>
    <t>Sub-total</t>
  </si>
  <si>
    <t>BS_A_110</t>
  </si>
  <si>
    <t>Property, Plant &amp; Equipment</t>
  </si>
  <si>
    <t>110*</t>
  </si>
  <si>
    <t>No</t>
  </si>
  <si>
    <t>PPE net block</t>
  </si>
  <si>
    <t>BS_A_120</t>
  </si>
  <si>
    <t>Capital Work-in-Progress</t>
  </si>
  <si>
    <t>111*</t>
  </si>
  <si>
    <t>BS_A_130</t>
  </si>
  <si>
    <t>Right-of-use Assets</t>
  </si>
  <si>
    <t>112*</t>
  </si>
  <si>
    <t>Lease assets</t>
  </si>
  <si>
    <t>BS_A_140</t>
  </si>
  <si>
    <t>Intangible Assets</t>
  </si>
  <si>
    <t>113*</t>
  </si>
  <si>
    <t>Intangibles</t>
  </si>
  <si>
    <t>BS_A_150</t>
  </si>
  <si>
    <t>Financial Assets (Non-Current)</t>
  </si>
  <si>
    <t>Sub-header</t>
  </si>
  <si>
    <t>BS_A_151</t>
  </si>
  <si>
    <t>- Investments in JV/Associates</t>
  </si>
  <si>
    <t>120*</t>
  </si>
  <si>
    <t>Equity method</t>
  </si>
  <si>
    <t>BS_A_152</t>
  </si>
  <si>
    <t>- Other Investments</t>
  </si>
  <si>
    <t>121*</t>
  </si>
  <si>
    <t>Financial investments</t>
  </si>
  <si>
    <t>BS_A_153</t>
  </si>
  <si>
    <t>- Loans (Non-Current)</t>
  </si>
  <si>
    <t>122*</t>
  </si>
  <si>
    <t>Long-term loans</t>
  </si>
  <si>
    <t>BS_A_200</t>
  </si>
  <si>
    <t>Current Assets</t>
  </si>
  <si>
    <t>BS_A_210</t>
  </si>
  <si>
    <t>Inventories</t>
  </si>
  <si>
    <t>140*</t>
  </si>
  <si>
    <t>Materials inventory</t>
  </si>
  <si>
    <t>BS_A_220</t>
  </si>
  <si>
    <t>Financial Assets (Current)</t>
  </si>
  <si>
    <t>BS_A_221</t>
  </si>
  <si>
    <t>- Trade Receivables</t>
  </si>
  <si>
    <t>141*</t>
  </si>
  <si>
    <t>From customers</t>
  </si>
  <si>
    <t>BS_A_222</t>
  </si>
  <si>
    <t>- Cash and Cash Equivalents</t>
  </si>
  <si>
    <t>142*</t>
  </si>
  <si>
    <t>Cash balances</t>
  </si>
  <si>
    <t>BS_E_000</t>
  </si>
  <si>
    <t>TOTAL EQUITY &amp; LIABILITIES</t>
  </si>
  <si>
    <t>Credit</t>
  </si>
  <si>
    <t>BS_E_100</t>
  </si>
  <si>
    <t>BS_E_110</t>
  </si>
  <si>
    <t>Equity Share Capital</t>
  </si>
  <si>
    <t>200*</t>
  </si>
  <si>
    <t>Share capital</t>
  </si>
  <si>
    <t>BS_E_120</t>
  </si>
  <si>
    <t>Other Equity</t>
  </si>
  <si>
    <t>210*,220*,230*</t>
  </si>
  <si>
    <t>Reserves &amp; surplus</t>
  </si>
  <si>
    <t>BS_E_130</t>
  </si>
  <si>
    <t>Non-Controlling Interests</t>
  </si>
  <si>
    <t>[Calculated]</t>
  </si>
  <si>
    <t>Minority interest</t>
  </si>
  <si>
    <t>BS_L_100</t>
  </si>
  <si>
    <t>Non-Current Liabilities</t>
  </si>
  <si>
    <t>Liabilities</t>
  </si>
  <si>
    <t>BS_L_110</t>
  </si>
  <si>
    <t>Financial Liabilities (NC)</t>
  </si>
  <si>
    <t>BS_L_111</t>
  </si>
  <si>
    <t>- Borrowings (Non-Current)</t>
  </si>
  <si>
    <t>300*</t>
  </si>
  <si>
    <t>Long-term debt</t>
  </si>
  <si>
    <t>BS_L_200</t>
  </si>
  <si>
    <t>Current Liabilities</t>
  </si>
  <si>
    <t>BS_L_210</t>
  </si>
  <si>
    <t>Financial Liabilities (Current)</t>
  </si>
  <si>
    <t>BS_L_211</t>
  </si>
  <si>
    <t>- Borrowings (Current)</t>
  </si>
  <si>
    <t>400*</t>
  </si>
  <si>
    <t>Short-term debt</t>
  </si>
  <si>
    <t>BS_L_213</t>
  </si>
  <si>
    <t>- Trade Payables</t>
  </si>
  <si>
    <t>402*</t>
  </si>
  <si>
    <t>Vendor payables</t>
  </si>
  <si>
    <t>Segment_Applicable</t>
  </si>
  <si>
    <t>PL_I_000</t>
  </si>
  <si>
    <t>TOTAL INCOME</t>
  </si>
  <si>
    <t>Income</t>
  </si>
  <si>
    <t>PL_I_100</t>
  </si>
  <si>
    <t>Revenue from Operations</t>
  </si>
  <si>
    <t>Operating</t>
  </si>
  <si>
    <t>PL_I_110</t>
  </si>
  <si>
    <t>Sale of Power - Solar</t>
  </si>
  <si>
    <t>500*</t>
  </si>
  <si>
    <t>PL_I_120</t>
  </si>
  <si>
    <t>Sale of Power - Biogas</t>
  </si>
  <si>
    <t>501*</t>
  </si>
  <si>
    <t>PL_I_140</t>
  </si>
  <si>
    <t>EPC Revenue</t>
  </si>
  <si>
    <t>510*</t>
  </si>
  <si>
    <t>PL_I_150</t>
  </si>
  <si>
    <t>O&amp;M Services Revenue</t>
  </si>
  <si>
    <t>520*</t>
  </si>
  <si>
    <t>PL_I_170</t>
  </si>
  <si>
    <t>Other Operating Revenue</t>
  </si>
  <si>
    <t>540*</t>
  </si>
  <si>
    <t>PL_I_200</t>
  </si>
  <si>
    <t>Other Income</t>
  </si>
  <si>
    <t>Non-Operating</t>
  </si>
  <si>
    <t>PL_I_210</t>
  </si>
  <si>
    <t>Interest Income</t>
  </si>
  <si>
    <t>550*</t>
  </si>
  <si>
    <t>PL_I_220</t>
  </si>
  <si>
    <t>Dividend Income</t>
  </si>
  <si>
    <t>551*</t>
  </si>
  <si>
    <t>PL_E_000</t>
  </si>
  <si>
    <t>TOTAL EXPENSES</t>
  </si>
  <si>
    <t>Expenses</t>
  </si>
  <si>
    <t>PL_E_100</t>
  </si>
  <si>
    <t>Cost of Power / Fuel</t>
  </si>
  <si>
    <t>600*</t>
  </si>
  <si>
    <t>PL_E_110</t>
  </si>
  <si>
    <t>Cost of Materials (EPC)</t>
  </si>
  <si>
    <t>610*</t>
  </si>
  <si>
    <t>PL_E_120</t>
  </si>
  <si>
    <t>Subcontracting Charges</t>
  </si>
  <si>
    <t>620*</t>
  </si>
  <si>
    <t>PL_E_130</t>
  </si>
  <si>
    <t>Employee Benefits Expense</t>
  </si>
  <si>
    <t>630*</t>
  </si>
  <si>
    <t>PL_E_140</t>
  </si>
  <si>
    <t>Finance Costs</t>
  </si>
  <si>
    <t>640*</t>
  </si>
  <si>
    <t>PL_E_150</t>
  </si>
  <si>
    <t>Depreciation &amp; Amortization</t>
  </si>
  <si>
    <t>650*</t>
  </si>
  <si>
    <t>PL_E_160</t>
  </si>
  <si>
    <t>O&amp;M Expenses</t>
  </si>
  <si>
    <t>660*</t>
  </si>
  <si>
    <t>PL_E_170</t>
  </si>
  <si>
    <t>Other Expenses</t>
  </si>
  <si>
    <t>670*</t>
  </si>
  <si>
    <t>PL_R_100</t>
  </si>
  <si>
    <t>Result</t>
  </si>
  <si>
    <t>PL_R_110</t>
  </si>
  <si>
    <t>Tax Expense - Current</t>
  </si>
  <si>
    <t>Tax</t>
  </si>
  <si>
    <t>700*</t>
  </si>
  <si>
    <t>PL_R_120</t>
  </si>
  <si>
    <t>Tax Expense - Deferred</t>
  </si>
  <si>
    <t>701*</t>
  </si>
  <si>
    <t>PL_R_200</t>
  </si>
  <si>
    <t>Profit for the Year</t>
  </si>
  <si>
    <t>PL_R_300</t>
  </si>
  <si>
    <t>Attributable to Owners</t>
  </si>
  <si>
    <t>Attribution</t>
  </si>
  <si>
    <t>PL_R_310</t>
  </si>
  <si>
    <t>Attributable to NCI</t>
  </si>
  <si>
    <t>CF_Line_Code</t>
  </si>
  <si>
    <t>CF_Line_Name</t>
  </si>
  <si>
    <t>CF_Section</t>
  </si>
  <si>
    <t>Source_Type</t>
  </si>
  <si>
    <t>Source_Reference</t>
  </si>
  <si>
    <t>Add_Subtract</t>
  </si>
  <si>
    <t>CF_O_000</t>
  </si>
  <si>
    <t>A. CASH FLOW FROM OPERATING ACTIVITIES</t>
  </si>
  <si>
    <t>Section</t>
  </si>
  <si>
    <t>CF_O_010</t>
  </si>
  <si>
    <t>PL_Link</t>
  </si>
  <si>
    <t>Add</t>
  </si>
  <si>
    <t>CF_O_020</t>
  </si>
  <si>
    <t>Adjustments:</t>
  </si>
  <si>
    <t>Header</t>
  </si>
  <si>
    <t>CF_O_021</t>
  </si>
  <si>
    <t>CF_O_022</t>
  </si>
  <si>
    <t>CF_O_023</t>
  </si>
  <si>
    <t>Subtract</t>
  </si>
  <si>
    <t>CF_O_030</t>
  </si>
  <si>
    <t>Operating Profit before WC changes</t>
  </si>
  <si>
    <t>Calculated</t>
  </si>
  <si>
    <t>Sum_Above</t>
  </si>
  <si>
    <t>CF_O_040</t>
  </si>
  <si>
    <t>Working Capital changes:</t>
  </si>
  <si>
    <t>CF_O_041</t>
  </si>
  <si>
    <t>(Increase)/Decrease in Receivables</t>
  </si>
  <si>
    <t>BS_Movement</t>
  </si>
  <si>
    <t>CF_O_042</t>
  </si>
  <si>
    <t>Increase/(Decrease) in Payables</t>
  </si>
  <si>
    <t>CF_O_050</t>
  </si>
  <si>
    <t>Cash Generated from Operations</t>
  </si>
  <si>
    <t>CF_O_060</t>
  </si>
  <si>
    <t>Income Tax Paid</t>
  </si>
  <si>
    <t>CF_O_100</t>
  </si>
  <si>
    <t>Net Cash from Operating Activities (A)</t>
  </si>
  <si>
    <t>Sum_Section</t>
  </si>
  <si>
    <t>CF_I_000</t>
  </si>
  <si>
    <t>B. CASH FLOW FROM INVESTING ACTIVITIES</t>
  </si>
  <si>
    <t>Investing</t>
  </si>
  <si>
    <t>CF_I_010</t>
  </si>
  <si>
    <t>Purchase of PPE</t>
  </si>
  <si>
    <t>CF_I_020</t>
  </si>
  <si>
    <t>Interest Received</t>
  </si>
  <si>
    <t>CF_I_100</t>
  </si>
  <si>
    <t>Net Cash from Investing Activities (B)</t>
  </si>
  <si>
    <t>CF_F_000</t>
  </si>
  <si>
    <t>C. CASH FLOW FROM FINANCING ACTIVITIES</t>
  </si>
  <si>
    <t>Financing</t>
  </si>
  <si>
    <t>CF_F_010</t>
  </si>
  <si>
    <t>Proceeds from Borrowings</t>
  </si>
  <si>
    <t>CF_F_020</t>
  </si>
  <si>
    <t>Interest Paid</t>
  </si>
  <si>
    <t>CF_F_100</t>
  </si>
  <si>
    <t>Net Cash from Financing Activities (C)</t>
  </si>
  <si>
    <t>CF_S_000</t>
  </si>
  <si>
    <t>SUMMARY</t>
  </si>
  <si>
    <t>Summary</t>
  </si>
  <si>
    <t>CF_S_010</t>
  </si>
  <si>
    <t>Net Increase/(Decrease) in Cash (A+B+C)</t>
  </si>
  <si>
    <t>Sum_ABC</t>
  </si>
  <si>
    <t>CF_S_020</t>
  </si>
  <si>
    <t>Cash at Beginning of Period</t>
  </si>
  <si>
    <t>BS_Opening</t>
  </si>
  <si>
    <t>CF_S_030</t>
  </si>
  <si>
    <t>Cash at End of Period</t>
  </si>
  <si>
    <t>Sum_Change</t>
  </si>
  <si>
    <t>TRIAL BALANCE INPUT</t>
  </si>
  <si>
    <t>Account_Prefix</t>
  </si>
  <si>
    <t>E001 - Parent Renewable Ltd</t>
  </si>
  <si>
    <t>E002 - Solar SPV 1 Ltd</t>
  </si>
  <si>
    <t>E003 - Solar SPV 2 Ltd</t>
  </si>
  <si>
    <t>Account_Code</t>
  </si>
  <si>
    <t>Account_Name</t>
  </si>
  <si>
    <t>FS_Category</t>
  </si>
  <si>
    <t>Dr</t>
  </si>
  <si>
    <t>Cr</t>
  </si>
  <si>
    <t>Net</t>
  </si>
  <si>
    <t>100001</t>
  </si>
  <si>
    <t>Cash in Hand</t>
  </si>
  <si>
    <t>BS</t>
  </si>
  <si>
    <t>110001</t>
  </si>
  <si>
    <t>PPE - Solar Plants</t>
  </si>
  <si>
    <t>111001</t>
  </si>
  <si>
    <t>CWIP - Solar Projects</t>
  </si>
  <si>
    <t>122001</t>
  </si>
  <si>
    <t>Loan to SPV</t>
  </si>
  <si>
    <t>141001</t>
  </si>
  <si>
    <t>Trade Receivables</t>
  </si>
  <si>
    <t>142001</t>
  </si>
  <si>
    <t>Cash at Bank</t>
  </si>
  <si>
    <t>Retained Earnings</t>
  </si>
  <si>
    <t>Term Loans</t>
  </si>
  <si>
    <t>Loan from Parent</t>
  </si>
  <si>
    <t>Trade Payables</t>
  </si>
  <si>
    <t>Power Sales - Solar</t>
  </si>
  <si>
    <t>PL</t>
  </si>
  <si>
    <t>Employee Salaries</t>
  </si>
  <si>
    <t>Depreciation</t>
  </si>
  <si>
    <t>EPC Material Costs</t>
  </si>
  <si>
    <t>TOTAL</t>
  </si>
  <si>
    <t>IC_Trans_ID</t>
  </si>
  <si>
    <t>Transaction_Type</t>
  </si>
  <si>
    <t>From_Entity_ID</t>
  </si>
  <si>
    <t>To_Entity_ID</t>
  </si>
  <si>
    <t>Description</t>
  </si>
  <si>
    <t>Amount</t>
  </si>
  <si>
    <t>Profit_%</t>
  </si>
  <si>
    <t>Profit_Amount</t>
  </si>
  <si>
    <t>Period</t>
  </si>
  <si>
    <t>FS_Impact_From</t>
  </si>
  <si>
    <t>FS_Impact_To</t>
  </si>
  <si>
    <t>Elimination_Status</t>
  </si>
  <si>
    <t>IC001</t>
  </si>
  <si>
    <t>EPC_Revenue</t>
  </si>
  <si>
    <t>Solar plant construction for SPV1</t>
  </si>
  <si>
    <t>Pending</t>
  </si>
  <si>
    <t>To be eliminated</t>
  </si>
  <si>
    <t>IC002</t>
  </si>
  <si>
    <t>Loan_Given</t>
  </si>
  <si>
    <t>Project financing loan to SPV1</t>
  </si>
  <si>
    <t>Loan Asset</t>
  </si>
  <si>
    <t>Loan Liability</t>
  </si>
  <si>
    <t>IC003</t>
  </si>
  <si>
    <t>Interest_Charged</t>
  </si>
  <si>
    <t>Interest on loan @12% p.a.</t>
  </si>
  <si>
    <t>Finance Cost</t>
  </si>
  <si>
    <t>E001_Jan24</t>
  </si>
  <si>
    <t>E002_Jan24</t>
  </si>
  <si>
    <t>E003_Jan24</t>
  </si>
  <si>
    <t>Pre_Elim_Total_Jan24</t>
  </si>
  <si>
    <t>Eliminations_Jan24</t>
  </si>
  <si>
    <t>Post_Elim_Total_Jan24</t>
  </si>
  <si>
    <t>NCI_Share_Jan24</t>
  </si>
  <si>
    <t>Owners_Share_Jan24</t>
  </si>
  <si>
    <t>PL_I_900</t>
  </si>
  <si>
    <t>900</t>
  </si>
  <si>
    <t>Amount_Jan24</t>
  </si>
  <si>
    <t>Elimination_Type</t>
  </si>
  <si>
    <t>FS_Line_Code_Dr</t>
  </si>
  <si>
    <t>FS_Line_Code_Cr</t>
  </si>
  <si>
    <t>Formula_Notes</t>
  </si>
  <si>
    <t>EPC_Revenue_Elim</t>
  </si>
  <si>
    <t>Eliminate EPC revenue from Parent to SPV</t>
  </si>
  <si>
    <t>IC001 - EPC Revenue elimination</t>
  </si>
  <si>
    <t>Profit_in_CWIP</t>
  </si>
  <si>
    <t>Eliminate unrealized profit in CWIP</t>
  </si>
  <si>
    <t>IC001 - 10% profit margin elimination</t>
  </si>
  <si>
    <t>IC_Loan_Elim_Asset</t>
  </si>
  <si>
    <t>Eliminate IC loan receivable</t>
  </si>
  <si>
    <t>IC002 - Loan asset elimination</t>
  </si>
  <si>
    <t>IC_Loan_Elim_Liab</t>
  </si>
  <si>
    <t>Eliminate IC loan payable</t>
  </si>
  <si>
    <t>IC002 - Loan liability elimination</t>
  </si>
  <si>
    <t>IC_Interest_Elim_Inc</t>
  </si>
  <si>
    <t>Eliminate IC interest income</t>
  </si>
  <si>
    <t>IC003 - Interest income elimination</t>
  </si>
  <si>
    <t>IC_Interest_Elim_Exp</t>
  </si>
  <si>
    <t>Eliminate IC interest expense</t>
  </si>
  <si>
    <t>IC003 - Interest expense elimination</t>
  </si>
  <si>
    <t>PARENT RENEWABLE LTD</t>
  </si>
  <si>
    <t>CONSOLIDATED BALANCE SHEET</t>
  </si>
  <si>
    <t>As at 31st March 2024</t>
  </si>
  <si>
    <t>(All amounts in ₹ Lacs unless otherwise stated)</t>
  </si>
  <si>
    <t>Particulars</t>
  </si>
  <si>
    <t>Note</t>
  </si>
  <si>
    <t>FY2023</t>
  </si>
  <si>
    <t>Variance</t>
  </si>
  <si>
    <t>Variance %</t>
  </si>
  <si>
    <t>ASSETS</t>
  </si>
  <si>
    <t xml:space="preserve">  Property, Plant &amp; Equipment</t>
  </si>
  <si>
    <t>1</t>
  </si>
  <si>
    <t xml:space="preserve">  Capital Work-in-Progress</t>
  </si>
  <si>
    <t>2</t>
  </si>
  <si>
    <t xml:space="preserve">  Investments in JV/Associates</t>
  </si>
  <si>
    <t>3</t>
  </si>
  <si>
    <t>Total Non-Current Assets</t>
  </si>
  <si>
    <t xml:space="preserve">  Trade Receivables</t>
  </si>
  <si>
    <t>4</t>
  </si>
  <si>
    <t xml:space="preserve">  Cash and Cash Equivalents</t>
  </si>
  <si>
    <t>5</t>
  </si>
  <si>
    <t>Total Current Assets</t>
  </si>
  <si>
    <t>EQUITY AND LIABILITIES</t>
  </si>
  <si>
    <t xml:space="preserve">  Equity Share Capital</t>
  </si>
  <si>
    <t>6</t>
  </si>
  <si>
    <t xml:space="preserve">  Other Equity</t>
  </si>
  <si>
    <t>7</t>
  </si>
  <si>
    <t xml:space="preserve">  Non-Controlling Interests</t>
  </si>
  <si>
    <t>8</t>
  </si>
  <si>
    <t xml:space="preserve">  Borrowings (Non-Current)</t>
  </si>
  <si>
    <t>9</t>
  </si>
  <si>
    <t>Total Non-Current Liabilities</t>
  </si>
  <si>
    <t xml:space="preserve">  Borrowings (Current)</t>
  </si>
  <si>
    <t>10</t>
  </si>
  <si>
    <t xml:space="preserve">  Trade Payables</t>
  </si>
  <si>
    <t>11</t>
  </si>
  <si>
    <t>Total Current Liabilities</t>
  </si>
  <si>
    <t>TOTAL EQUITY AND LIABILITIES</t>
  </si>
  <si>
    <t>NOTE: This output should link to:</t>
  </si>
  <si>
    <t>CONSOLIDATED STATEMENT OF PROFIT AND LOSS</t>
  </si>
  <si>
    <t>For the year ended 31st March 2024</t>
  </si>
  <si>
    <t>INCOME</t>
  </si>
  <si>
    <t xml:space="preserve">  Sale of Power - Solar</t>
  </si>
  <si>
    <t>12</t>
  </si>
  <si>
    <t xml:space="preserve">  Sale of Power - Biogas</t>
  </si>
  <si>
    <t>13</t>
  </si>
  <si>
    <t xml:space="preserve">  EPC Revenue</t>
  </si>
  <si>
    <t>14</t>
  </si>
  <si>
    <t>Total Revenue from Operations</t>
  </si>
  <si>
    <t>15</t>
  </si>
  <si>
    <t>Total Income</t>
  </si>
  <si>
    <t>EXPENSES</t>
  </si>
  <si>
    <t xml:space="preserve">  Cost of Materials (EPC)</t>
  </si>
  <si>
    <t>16</t>
  </si>
  <si>
    <t xml:space="preserve">  Employee Benefits</t>
  </si>
  <si>
    <t>17</t>
  </si>
  <si>
    <t xml:space="preserve">  Finance Costs</t>
  </si>
  <si>
    <t>18</t>
  </si>
  <si>
    <t xml:space="preserve">  Depreciation &amp; Amortization</t>
  </si>
  <si>
    <t>19</t>
  </si>
  <si>
    <t xml:space="preserve">  Other Expenses</t>
  </si>
  <si>
    <t>20</t>
  </si>
  <si>
    <t>Total Expenses</t>
  </si>
  <si>
    <t>Tax Expense</t>
  </si>
  <si>
    <t>21</t>
  </si>
  <si>
    <t>Attributable to:</t>
  </si>
  <si>
    <t xml:space="preserve">  Owners of the Company</t>
  </si>
  <si>
    <t>CONSOLIDATED STATEMENT OF CASH FLOWS</t>
  </si>
  <si>
    <t>For the year ended 31st March 2024 (Indirect Method)</t>
  </si>
  <si>
    <t xml:space="preserve">  Interest Income</t>
  </si>
  <si>
    <t xml:space="preserve">  (Increase)/Decrease in Receivables</t>
  </si>
  <si>
    <t xml:space="preserve">  Increase/(Decrease) in Payables</t>
  </si>
  <si>
    <t xml:space="preserve">  Income Tax Paid</t>
  </si>
  <si>
    <t xml:space="preserve">  Purchase of PPE</t>
  </si>
  <si>
    <t xml:space="preserve">  Interest Received</t>
  </si>
  <si>
    <t xml:space="preserve">  Proceeds from Borrowings</t>
  </si>
  <si>
    <t xml:space="preserve">  Interest Paid</t>
  </si>
  <si>
    <t>Parameter</t>
  </si>
  <si>
    <t>Value</t>
  </si>
  <si>
    <t>Current_Period</t>
  </si>
  <si>
    <t>Selected reporting period</t>
  </si>
  <si>
    <t>Comparison_Period</t>
  </si>
  <si>
    <t>Previous period for comparison</t>
  </si>
  <si>
    <t>Display_Mode</t>
  </si>
  <si>
    <t>Monthly/Quarterly/Annual</t>
  </si>
  <si>
    <t>Currency for display</t>
  </si>
  <si>
    <t>FY_Start_Month</t>
  </si>
  <si>
    <t>April</t>
  </si>
  <si>
    <t>Financial year start month</t>
  </si>
  <si>
    <t>Rounding</t>
  </si>
  <si>
    <t>Lacs</t>
  </si>
  <si>
    <t>Display in Cr/Lacs/thousands</t>
  </si>
  <si>
    <t>Check #</t>
  </si>
  <si>
    <t>Check Description</t>
  </si>
  <si>
    <t>Expected</t>
  </si>
  <si>
    <t>Actual</t>
  </si>
  <si>
    <t>Status</t>
  </si>
  <si>
    <t>V01</t>
  </si>
  <si>
    <t>TOTAL FAILS:</t>
  </si>
  <si>
    <t>V02</t>
  </si>
  <si>
    <t>V03</t>
  </si>
  <si>
    <t>TB Debit = Credit (E001, Jan-24)</t>
  </si>
  <si>
    <t>V04</t>
  </si>
  <si>
    <t>TB Debit = Credit (E002, Jan-24)</t>
  </si>
  <si>
    <t>V05</t>
  </si>
  <si>
    <t>V06</t>
  </si>
  <si>
    <t>V07</t>
  </si>
  <si>
    <t>Ownership % Valid (0-100%)</t>
  </si>
  <si>
    <t>V08</t>
  </si>
  <si>
    <t>V09</t>
  </si>
  <si>
    <t>V10</t>
  </si>
  <si>
    <t>Entity Master Integrity</t>
  </si>
  <si>
    <t>V11</t>
  </si>
  <si>
    <t>V12</t>
  </si>
  <si>
    <t>V13</t>
  </si>
  <si>
    <t>V14</t>
  </si>
  <si>
    <t>No Duplicate Entity_IDs</t>
  </si>
  <si>
    <t>V15</t>
  </si>
  <si>
    <t>Total Failed Checks</t>
  </si>
  <si>
    <t>RENEWABLE ENERGY CONSOLIDATION MODEL - USER GUIDE</t>
  </si>
  <si>
    <t>1. MODEL OVERVIEW</t>
  </si>
  <si>
    <t xml:space="preserve">   This Excel model provides complete financial consolidation for renewable energy companies</t>
  </si>
  <si>
    <t xml:space="preserve">   with hybrid EPC + IPP business models.</t>
  </si>
  <si>
    <t>2. GETTING STARTED</t>
  </si>
  <si>
    <t xml:space="preserve">   - Start with the Dashboard sheet for navigation</t>
  </si>
  <si>
    <t xml:space="preserve">   - Review Entity_Master and Asset_Master to understand the structure</t>
  </si>
  <si>
    <t xml:space="preserve">   - Input monthly trial balances in TB_Input sheet</t>
  </si>
  <si>
    <t xml:space="preserve">   - Track intercompany transactions in IC_Transactions sheet</t>
  </si>
  <si>
    <t>3. MASTER DATA SETUP</t>
  </si>
  <si>
    <t xml:space="preserve">   Entity_Master: Add all entities (Parent, SPVs, JVs, Associates)</t>
  </si>
  <si>
    <t xml:space="preserve">   Asset_Master: Add all assets with hierarchical classification</t>
  </si>
  <si>
    <t xml:space="preserve">   Reference_Lists: Customize dropdown values as needed</t>
  </si>
  <si>
    <t>4. MONTHLY DATA INPUT</t>
  </si>
  <si>
    <t xml:space="preserve">   TB_Input: Enter trial balance for each entity for each month</t>
  </si>
  <si>
    <t xml:space="preserve">   - Use the column structure: Entity_Period_Dr, Entity_Period_Cr, Entity_Period_Net</t>
  </si>
  <si>
    <t xml:space="preserve">   - Ensure Total Debit = Total Credit for each entity</t>
  </si>
  <si>
    <t xml:space="preserve">   IC_Transactions: Record all intercompany transactions</t>
  </si>
  <si>
    <t>5. PERIOD SELECTION</t>
  </si>
  <si>
    <t xml:space="preserve">   Use Period_Control sheet to set:</t>
  </si>
  <si>
    <t xml:space="preserve">   - Current reporting period</t>
  </si>
  <si>
    <t xml:space="preserve">   - Comparison period</t>
  </si>
  <si>
    <t xml:space="preserve">   - Display mode (Monthly/Quarterly/Annual)</t>
  </si>
  <si>
    <t>6. READING OUTPUTS</t>
  </si>
  <si>
    <t xml:space="preserve">   Output_BS: Consolidated Balance Sheet</t>
  </si>
  <si>
    <t xml:space="preserve">   Output_PL: Consolidated Profit &amp; Loss</t>
  </si>
  <si>
    <t xml:space="preserve">   Output_CF: Consolidated Cash Flow (Indirect Method)</t>
  </si>
  <si>
    <t xml:space="preserve">   All outputs automatically update based on period selection</t>
  </si>
  <si>
    <t>7. VALIDATION &amp; TROUBLESHOOTING</t>
  </si>
  <si>
    <t xml:space="preserve">   Validation sheet: Check for errors and data integrity issues</t>
  </si>
  <si>
    <t xml:space="preserve">   - All checks should show "Pass" status</t>
  </si>
  <si>
    <t xml:space="preserve">   - Red highlighting indicates issues to resolve</t>
  </si>
  <si>
    <t>8. ASSUMPTIONS &amp; LIMITATIONS</t>
  </si>
  <si>
    <t xml:space="preserve">   - Accounting Standard: Ind AS / IFRS compliant</t>
  </si>
  <si>
    <t xml:space="preserve">   - Cash Flow: Indirect method only</t>
  </si>
  <si>
    <t xml:space="preserve">   - Consolidation: Full for &gt;50%, Equity for 20-50%</t>
  </si>
  <si>
    <t xml:space="preserve">   - Currency: Single functional currency (INR)</t>
  </si>
  <si>
    <t xml:space="preserve">   - Entities: Practical limit ~100</t>
  </si>
  <si>
    <t xml:space="preserve">   - Periods: Recommended max 60 months</t>
  </si>
  <si>
    <t>9. SUPPORT</t>
  </si>
  <si>
    <t xml:space="preserve">   For questions, refer to:</t>
  </si>
  <si>
    <t xml:space="preserve">   - PHASE_1_RESEARCH.md for industry context</t>
  </si>
  <si>
    <t xml:space="preserve">   - PHASE_2_SYSTEM_DESIGN.md for architecture</t>
  </si>
  <si>
    <t xml:space="preserve">   - PHASE_3_EXCEL_MODEL_BUILD documentation for detailed specs</t>
  </si>
  <si>
    <t>10. VERSION CONTROL</t>
  </si>
  <si>
    <t xml:space="preserve">   Model Version: 1.0</t>
  </si>
  <si>
    <t xml:space="preserve">   Built Date: 2026-03-17</t>
  </si>
  <si>
    <t xml:space="preserve">   Based on: PHASE 1-3 repository specifications</t>
  </si>
  <si>
    <t>Retained Earnings Adjustment</t>
  </si>
  <si>
    <t>Retained Earnings Adjustment - E003</t>
  </si>
  <si>
    <t>BS Balance</t>
  </si>
  <si>
    <t>IC Loan Asset = Loan Liability</t>
  </si>
  <si>
    <t>TB Debit = Credit (E003, Jan-24)</t>
  </si>
  <si>
    <t>Cash Flow Closing Cash = BS Cash</t>
  </si>
  <si>
    <t>NCI Attribution Consistent</t>
  </si>
  <si>
    <t>No Self-Parent Relationships</t>
  </si>
  <si>
    <t>IC Eliminations Complete &amp; Aligned</t>
  </si>
  <si>
    <t>Unmapped TB Prefixes</t>
  </si>
  <si>
    <t>No Formula Errors in Critical Sheets</t>
  </si>
  <si>
    <t>Output Layer Linked to Engine</t>
  </si>
  <si>
    <t>V16</t>
  </si>
  <si>
    <t>Formula Integrity Check (Engine + TB)</t>
  </si>
  <si>
    <t>V17</t>
  </si>
  <si>
    <t>TB Input Range Capacity</t>
  </si>
  <si>
    <t>Quarterly</t>
  </si>
  <si>
    <t>Annual</t>
  </si>
  <si>
    <t>January</t>
  </si>
  <si>
    <t>March</t>
  </si>
  <si>
    <t>February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</si>
  <si>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</si>
  <si>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</si>
  <si>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</si>
  <si>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</si>
  <si>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</si>
  <si>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</si>
  <si>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</si>
  <si>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</si>
  <si>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Thousands</t>
  </si>
  <si>
    <t>Go to Period Control</t>
  </si>
  <si>
    <t>Go Back to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</si>
</sst>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17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4"/>
      <name val="Calibri"/>
    </font>
    <font>
      <b/>
      <sz val="12"/>
      <name val="Calibri"/>
    </font>
    <font>
      <i/>
      <sz val="10"/>
      <name val="Calibri"/>
    </font>
    <font>
      <i/>
      <sz val="9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i/>
      <sz val="11"/>
      <name val="Calibri"/>
    </font>
    <font>
      <b/>
      <sz val="12"/>
      <color rgb="FFFFFFFF"/>
      <name val="Calibri"/>
    </font>
    <font>
      <b/>
      <sz val="14"/>
      <color rgb="FF00B050"/>
      <name val="Calibri"/>
    </font>
    <font>
      <i/>
      <sz val="11"/>
      <color rgb="FF0000FF"/>
      <name val="Calibri"/>
    </font>
    <font>
      <b/>
      <sz val="11"/>
      <color rgb="FF006100"/>
      <name val="Calibri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00B050"/>
        <bgColor rgb="FF00B050"/>
      </patternFill>
    </fill>
    <fill>
      <patternFill patternType="solid">
        <fgColor rgb="FFFFD966"/>
        <bgColor rgb="FFFFD966"/>
      </patternFill>
    </fill>
    <fill>
      <patternFill patternType="solid">
        <fgColor rgb="FFFFC000"/>
        <bgColor rgb="FFFFC000"/>
      </patternFill>
    </fill>
    <fill>
      <patternFill patternType="solid">
        <fgColor rgb="FF4472C4"/>
        <bgColor rgb="FF4472C4"/>
      </patternFill>
    </fill>
    <fill>
      <patternFill patternType="solid">
        <fgColor rgb="FF002060"/>
        <bgColor rgb="FF002060"/>
      </patternFill>
    </fill>
    <fill>
      <patternFill patternType="solid">
        <fgColor rgb="FFD9E1F2"/>
        <bgColor rgb="FFD9E1F2"/>
      </patternFill>
    </fill>
    <fill>
      <patternFill patternType="solid">
        <fgColor rgb="FFC00000"/>
        <bgColor rgb="FFC00000"/>
      </patternFill>
    </fill>
    <fill>
      <patternFill patternType="solid">
        <fgColor rgb="FFD3D3D3"/>
        <bgColor rgb="FFD3D3D3"/>
      </patternFill>
    </fill>
    <fill>
      <patternFill patternType="solid">
        <fgColor rgb="FF9966FF"/>
        <bgColor rgb="FF9966FF"/>
      </patternFill>
    </fill>
    <fill>
      <patternFill patternType="solid">
        <fgColor rgb="FFFF6B6B"/>
        <bgColor rgb="FFFF6B6B"/>
      </patternFill>
    </fill>
    <fill>
      <patternFill patternType="solid">
        <fgColor rgb="FFC6EFCE"/>
        <bgColor rgb="FFC6EFCE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42">
    <xf numFmtId="0" fontId="0" fillId="0" borderId="0" xfId="0"/>
    <xf numFmtId="0" fontId="10" fillId="0" borderId="0" xfId="0" applyFont="1"/>
    <xf numFmtId="0" fontId="7" fillId="0" borderId="0" xfId="0" applyFont="1"/>
    <xf numFmtId="0" fontId="1" fillId="8" borderId="0" xfId="0" applyFont="1" applyFill="1"/>
    <xf numFmtId="0" fontId="12" fillId="0" borderId="0" xfId="0" applyFont="1"/>
    <xf numFmtId="0" fontId="3" fillId="2" borderId="0" xfId="0" applyFont="1" applyFill="1"/>
    <xf numFmtId="9" fontId="0" fillId="0" borderId="0" xfId="0" applyNumberFormat="1"/>
    <xf numFmtId="164" fontId="0" fillId="0" borderId="0" xfId="0" applyNumberFormat="1"/>
    <xf numFmtId="0" fontId="3" fillId="3" borderId="0" xfId="0" applyFont="1" applyFill="1"/>
    <xf numFmtId="2" fontId="0" fillId="0" borderId="0" xfId="0" applyNumberFormat="1"/>
    <xf numFmtId="0" fontId="1" fillId="0" borderId="0" xfId="0" applyFont="1"/>
    <xf numFmtId="0" fontId="2" fillId="4" borderId="0" xfId="0" applyFont="1" applyFill="1"/>
    <xf numFmtId="0" fontId="1" fillId="5" borderId="0" xfId="0" applyFont="1" applyFill="1"/>
    <xf numFmtId="4" fontId="0" fillId="0" borderId="0" xfId="0" applyNumberFormat="1"/>
    <xf numFmtId="4" fontId="1" fillId="0" borderId="0" xfId="0" applyNumberFormat="1" applyFont="1"/>
    <xf numFmtId="0" fontId="2" fillId="5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6" borderId="0" xfId="0" applyFont="1" applyFill="1" applyAlignment="1">
      <alignment horizontal="center"/>
    </xf>
    <xf numFmtId="0" fontId="1" fillId="10" borderId="0" xfId="0" applyFont="1" applyFill="1"/>
    <xf numFmtId="0" fontId="8" fillId="9" borderId="0" xfId="0" applyFont="1" applyFill="1"/>
    <xf numFmtId="0" fontId="13" fillId="0" borderId="0" xfId="0" applyFont="1"/>
    <xf numFmtId="0" fontId="3" fillId="11" borderId="0" xfId="0" applyFont="1" applyFill="1"/>
    <xf numFmtId="0" fontId="3" fillId="12" borderId="0" xfId="0" applyFont="1" applyFill="1"/>
    <xf numFmtId="165" fontId="0" fillId="0" borderId="0" xfId="0" applyNumberFormat="1"/>
    <xf numFmtId="0" fontId="14" fillId="13" borderId="0" xfId="0" applyFont="1" applyFill="1"/>
    <xf numFmtId="0" fontId="1" fillId="2" borderId="0" xfId="0" applyFont="1" applyFill="1"/>
    <xf numFmtId="0" fontId="15" fillId="0" borderId="0" xfId="1"/>
    <xf numFmtId="0" fontId="0" fillId="0" borderId="0" xfId="0" quotePrefix="1"/>
    <xf numFmtId="17" fontId="0" fillId="0" borderId="0" xfId="0" applyNumberFormat="1"/>
    <xf numFmtId="0" fontId="5" fillId="0" borderId="0" xfId="0" applyFont="1" applyAlignment="1">
      <alignment horizontal="center"/>
    </xf>
    <xf numFmtId="0" fontId="0" fillId="0" borderId="0" xfId="0"/>
    <xf numFmtId="0" fontId="11" fillId="9" borderId="0" xfId="0" applyFont="1" applyFill="1"/>
    <xf numFmtId="0" fontId="9" fillId="7" borderId="0" xfId="0" applyFont="1" applyFill="1" applyAlignment="1">
      <alignment horizontal="center" vertical="center"/>
    </xf>
    <xf numFmtId="0" fontId="11" fillId="2" borderId="0" xfId="0" applyFont="1" applyFill="1"/>
    <xf numFmtId="0" fontId="4" fillId="14" borderId="0" xfId="0" applyFont="1" applyFill="1" applyAlignment="1">
      <alignment horizontal="center"/>
    </xf>
    <xf numFmtId="0" fontId="0" fillId="14" borderId="0" xfId="0" applyFill="1"/>
    <xf numFmtId="0" fontId="1" fillId="0" borderId="0" xfId="0" applyFont="1" applyAlignment="1">
      <alignment horizontal="center"/>
    </xf>
    <xf numFmtId="0" fontId="4" fillId="0" borderId="0" xfId="0" applyFont="1"/>
    <xf numFmtId="22" fontId="10" fillId="0" borderId="0" xfId="0" applyNumberFormat="1" applyFont="1"/>
    <xf numFmtId="0" fontId="0" fillId="0" borderId="0" xfId="0" quotePrefix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C7D42AF-445C-4583-B795-10CF059482D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C-vTiU2qxYwmFsLbBBRfK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ADD8E6"/>
  </sheetPr>
  <dimension ref="A1:F35"/>
  <sheetViews>
    <sheetView showGridLines="0" zoomScale="85" zoomScaleNormal="85" workbookViewId="0">
      <selection activeCell="H8" sqref="H8"/>
    </sheetView>
  </sheetViews>
  <sheetFormatPr defaultRowHeight="14.5" x14ac:dyDescent="0.35"/>
  <cols>
    <col min="1" max="1" width="30" customWidth="1"/>
    <col min="2" max="2" width="20" customWidth="1"/>
    <col min="3" max="3" width="25" customWidth="1"/>
    <col min="4" max="6" width="15" customWidth="1"/>
  </cols>
  <sheetData>
    <row r="1" spans="1:6" ht="30" customHeight="1" x14ac:dyDescent="0.35">
      <c r="A1" s="34" t="s">
        <v>0</v>
      </c>
      <c r="B1" s="32"/>
      <c r="C1" s="32"/>
      <c r="D1" s="32"/>
      <c r="E1" s="32"/>
      <c r="F1" s="32"/>
    </row>
    <row r="2" spans="1:6" ht="15.5" x14ac:dyDescent="0.35">
      <c r="A2" s="31" t="s">
        <v>1</v>
      </c>
      <c r="B2" s="32"/>
      <c r="C2" s="32"/>
      <c r="D2" s="32"/>
      <c r="E2" s="32"/>
      <c r="F2" s="32"/>
    </row>
    <row r="3" spans="1:6" x14ac:dyDescent="0.35">
      <c r="A3" t="s">
        <v>2</v>
      </c>
      <c r="B3" s="40">
        <f ca="1">NOW()</f>
        <v>46107.498991319444</v>
      </c>
    </row>
    <row r="5" spans="1:6" ht="15.5" x14ac:dyDescent="0.35">
      <c r="A5" s="35" t="s">
        <v>3</v>
      </c>
      <c r="B5" s="32"/>
      <c r="C5" s="32"/>
      <c r="D5" s="32"/>
      <c r="E5" s="32"/>
      <c r="F5" s="32"/>
    </row>
    <row r="7" spans="1:6" x14ac:dyDescent="0.35">
      <c r="A7" t="s">
        <v>4</v>
      </c>
      <c r="B7" t="str">
        <f>Period_Control!B2</f>
        <v>Jan-2024</v>
      </c>
      <c r="C7" s="2" t="s">
        <v>6</v>
      </c>
      <c r="D7" s="28" t="s">
        <v>717</v>
      </c>
    </row>
    <row r="8" spans="1:6" x14ac:dyDescent="0.35">
      <c r="A8" t="s">
        <v>7</v>
      </c>
      <c r="B8" t="str">
        <f>Period_Control!B3</f>
        <v>Dec-2023</v>
      </c>
      <c r="C8" s="2" t="s">
        <v>6</v>
      </c>
    </row>
    <row r="9" spans="1:6" x14ac:dyDescent="0.35">
      <c r="A9" t="s">
        <v>9</v>
      </c>
      <c r="B9" t="str">
        <f>Period_Control!B4</f>
        <v>Monthly</v>
      </c>
      <c r="C9" s="2" t="s">
        <v>11</v>
      </c>
    </row>
    <row r="10" spans="1:6" x14ac:dyDescent="0.35">
      <c r="A10" t="s">
        <v>12</v>
      </c>
      <c r="B10" t="str">
        <f>Period_Control!B5</f>
        <v>INR</v>
      </c>
    </row>
    <row r="12" spans="1:6" x14ac:dyDescent="0.35">
      <c r="A12" s="27" t="s">
        <v>14</v>
      </c>
      <c r="B12">
        <f ca="1">COUNTIF(Validation!$E$2:$E$18,"FAIL")</f>
        <v>0</v>
      </c>
      <c r="C12" t="str">
        <f ca="1">IF(B12=0,"ALL CHECKS PASSED","ISSUES DETECTED")</f>
        <v>ALL CHECKS PASSED</v>
      </c>
    </row>
    <row r="14" spans="1:6" x14ac:dyDescent="0.35">
      <c r="A14" s="3" t="s">
        <v>15</v>
      </c>
      <c r="B14" s="3" t="s">
        <v>16</v>
      </c>
      <c r="C14" s="3" t="s">
        <v>17</v>
      </c>
      <c r="D14" s="3" t="s">
        <v>18</v>
      </c>
      <c r="E14" s="3" t="s">
        <v>19</v>
      </c>
      <c r="F14" s="3"/>
    </row>
    <row r="15" spans="1:6" x14ac:dyDescent="0.35">
      <c r="A15" t="s">
        <v>20</v>
      </c>
      <c r="B15">
        <f>IFERROR(Output_PL!C12,0)</f>
        <v>23000</v>
      </c>
      <c r="C15">
        <f>IFERROR(Output_PL!D12,0)</f>
        <v>0</v>
      </c>
      <c r="D15">
        <f t="shared" ref="D15:D20" si="0">IFERROR(B15-C15,0)</f>
        <v>23000</v>
      </c>
      <c r="E15">
        <f t="shared" ref="E15:E20" si="1">IFERROR(IF(C15&lt;&gt;0,D15/C15,0),0)</f>
        <v>0</v>
      </c>
    </row>
    <row r="16" spans="1:6" x14ac:dyDescent="0.35">
      <c r="A16" t="s">
        <v>21</v>
      </c>
      <c r="B16">
        <f>IFERROR(Output_PL!C23,0)</f>
        <v>-4500</v>
      </c>
      <c r="C16">
        <f>IFERROR(Output_PL!D23,0)</f>
        <v>0</v>
      </c>
      <c r="D16">
        <f t="shared" si="0"/>
        <v>-4500</v>
      </c>
      <c r="E16">
        <f t="shared" si="1"/>
        <v>0</v>
      </c>
    </row>
    <row r="17" spans="1:6" x14ac:dyDescent="0.35">
      <c r="A17" t="s">
        <v>22</v>
      </c>
      <c r="B17">
        <f>IFERROR(Output_PL!C25,0)</f>
        <v>-15900</v>
      </c>
      <c r="C17">
        <f>IFERROR(Output_PL!D25,0)</f>
        <v>0</v>
      </c>
      <c r="D17">
        <f t="shared" si="0"/>
        <v>-15900</v>
      </c>
      <c r="E17">
        <f t="shared" si="1"/>
        <v>0</v>
      </c>
    </row>
    <row r="18" spans="1:6" x14ac:dyDescent="0.35">
      <c r="A18" t="s">
        <v>23</v>
      </c>
      <c r="B18">
        <f>IFERROR(Output_PL!C27,0)</f>
        <v>-15900</v>
      </c>
      <c r="C18">
        <f>IFERROR(Output_PL!D27,0)</f>
        <v>0</v>
      </c>
      <c r="D18">
        <f t="shared" si="0"/>
        <v>-15900</v>
      </c>
      <c r="E18">
        <f t="shared" si="1"/>
        <v>0</v>
      </c>
    </row>
    <row r="19" spans="1:6" x14ac:dyDescent="0.35">
      <c r="A19" t="s">
        <v>24</v>
      </c>
      <c r="B19">
        <f>IFERROR(Output_BS!C17,0)</f>
        <v>157150</v>
      </c>
      <c r="C19">
        <f>IFERROR(Output_BS!D17,0)</f>
        <v>0</v>
      </c>
      <c r="D19">
        <f t="shared" si="0"/>
        <v>157150</v>
      </c>
      <c r="E19">
        <f t="shared" si="1"/>
        <v>0</v>
      </c>
    </row>
    <row r="20" spans="1:6" x14ac:dyDescent="0.35">
      <c r="A20" t="s">
        <v>25</v>
      </c>
      <c r="B20">
        <f>IFERROR(Output_BS!C24,0)</f>
        <v>102150</v>
      </c>
      <c r="C20">
        <f>IFERROR(Output_BS!D24,0)</f>
        <v>0</v>
      </c>
      <c r="D20">
        <f t="shared" si="0"/>
        <v>102150</v>
      </c>
      <c r="E20">
        <f t="shared" si="1"/>
        <v>0</v>
      </c>
    </row>
    <row r="21" spans="1:6" x14ac:dyDescent="0.35">
      <c r="A21" t="s">
        <v>26</v>
      </c>
    </row>
    <row r="23" spans="1:6" ht="15.5" x14ac:dyDescent="0.35">
      <c r="A23" s="35" t="s">
        <v>27</v>
      </c>
      <c r="B23" s="32"/>
      <c r="C23" s="32"/>
      <c r="D23" s="32"/>
      <c r="E23" s="32"/>
      <c r="F23" s="32"/>
    </row>
    <row r="25" spans="1:6" x14ac:dyDescent="0.35">
      <c r="A25" s="28" t="s">
        <v>28</v>
      </c>
    </row>
    <row r="26" spans="1:6" x14ac:dyDescent="0.35">
      <c r="A26" s="28" t="s">
        <v>29</v>
      </c>
    </row>
    <row r="27" spans="1:6" x14ac:dyDescent="0.35">
      <c r="A27" s="28" t="s">
        <v>30</v>
      </c>
    </row>
    <row r="28" spans="1:6" x14ac:dyDescent="0.35">
      <c r="A28" s="28" t="s">
        <v>31</v>
      </c>
    </row>
    <row r="29" spans="1:6" x14ac:dyDescent="0.35">
      <c r="A29" s="28" t="s">
        <v>32</v>
      </c>
    </row>
    <row r="30" spans="1:6" x14ac:dyDescent="0.35">
      <c r="A30" s="28" t="s">
        <v>33</v>
      </c>
    </row>
    <row r="31" spans="1:6" x14ac:dyDescent="0.35">
      <c r="A31" s="28" t="s">
        <v>34</v>
      </c>
    </row>
    <row r="33" spans="1:6" ht="15.5" x14ac:dyDescent="0.35">
      <c r="A33" s="33" t="s">
        <v>35</v>
      </c>
      <c r="B33" s="32"/>
      <c r="C33" s="32"/>
      <c r="D33" s="32"/>
      <c r="E33" s="32"/>
      <c r="F33" s="32"/>
    </row>
    <row r="35" spans="1:6" ht="18.5" x14ac:dyDescent="0.45">
      <c r="A35" t="s">
        <v>36</v>
      </c>
      <c r="B35" s="4">
        <f ca="1">COUNTIF(Validation!$E$2:$E$18,"FAIL")</f>
        <v>0</v>
      </c>
      <c r="C35" s="1" t="str">
        <f ca="1">IF(B35=0,"ALL CHECKS PASSED","ISSUES DETECTED")</f>
        <v>ALL CHECKS PASSED</v>
      </c>
    </row>
  </sheetData>
  <mergeCells count="5">
    <mergeCell ref="A2:F2"/>
    <mergeCell ref="A33:F33"/>
    <mergeCell ref="A1:F1"/>
    <mergeCell ref="A23:F23"/>
    <mergeCell ref="A5:F5"/>
  </mergeCells>
  <hyperlinks>
    <hyperlink ref="A25" location="Entity_Master!A1" display="Go to Entity Master" xr:uid="{8DDC1355-C327-4A65-BFB5-BF62F81FD097}"/>
    <hyperlink ref="A26" location="Asset_Master!A1" display="Go to Asset Master" xr:uid="{7D4D35C0-AC15-4896-B8C9-8784B4F88292}"/>
    <hyperlink ref="A27" location="TB_Input!A1" display="Go to TB Input" xr:uid="{0013B8F1-6E7B-4465-BD19-624F2EFC0EEB}"/>
    <hyperlink ref="A28" location="Output_BS!A1" display="Go to Balance Sheet" xr:uid="{BDB4FA5D-732D-4662-9075-75BEEDFA9369}"/>
    <hyperlink ref="A29" location="Output_PL!A1" display="Go to P&amp;L Statement" xr:uid="{194B2410-8BC5-4897-BF23-95500792E3DF}"/>
    <hyperlink ref="A30" location="Output_CF!A1" display="Go to Cash Flow" xr:uid="{95C8B976-0F09-483A-98A4-2922CDC2B8BA}"/>
    <hyperlink ref="A31" location="Validation!A1" display="Go to Validation" xr:uid="{B13EF30F-ADC0-47A3-B112-F01EDD257D62}"/>
    <hyperlink ref="D7" location="Period_Control!A1" display="Go to Period Control" xr:uid="{7E55E9B8-3AED-4EA5-83EC-53EDBEC7047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0EE90"/>
  </sheetPr>
  <dimension ref="A1:M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30" customWidth="1"/>
    <col min="3" max="5" width="15" customWidth="1"/>
    <col min="6" max="7" width="20" customWidth="1"/>
    <col min="8" max="8" width="30" customWidth="1"/>
    <col min="9" max="9" width="18" customWidth="1"/>
    <col min="10" max="10" width="15" customWidth="1"/>
    <col min="11" max="12" width="18" customWidth="1"/>
    <col min="13" max="13" width="40" customWidth="1"/>
  </cols>
  <sheetData>
    <row r="1" spans="1:13" x14ac:dyDescent="0.35">
      <c r="A1" s="5" t="s">
        <v>37</v>
      </c>
      <c r="B1" s="5" t="s">
        <v>38</v>
      </c>
      <c r="C1" s="5" t="s">
        <v>39</v>
      </c>
      <c r="D1" s="5" t="s">
        <v>40</v>
      </c>
      <c r="E1" s="5" t="s">
        <v>41</v>
      </c>
      <c r="F1" s="5" t="s">
        <v>42</v>
      </c>
      <c r="G1" s="5" t="s">
        <v>43</v>
      </c>
      <c r="H1" s="5" t="s">
        <v>44</v>
      </c>
      <c r="I1" s="5" t="s">
        <v>45</v>
      </c>
      <c r="J1" s="5" t="s">
        <v>46</v>
      </c>
      <c r="K1" s="5" t="s">
        <v>47</v>
      </c>
      <c r="L1" s="5" t="s">
        <v>48</v>
      </c>
      <c r="M1" s="5" t="s">
        <v>49</v>
      </c>
    </row>
    <row r="2" spans="1:13" x14ac:dyDescent="0.35">
      <c r="A2" t="s">
        <v>50</v>
      </c>
      <c r="B2" t="s">
        <v>51</v>
      </c>
      <c r="C2" t="s">
        <v>52</v>
      </c>
      <c r="D2" t="s">
        <v>53</v>
      </c>
      <c r="E2" s="6">
        <v>1</v>
      </c>
      <c r="F2" s="6">
        <v>1</v>
      </c>
      <c r="G2" t="s">
        <v>54</v>
      </c>
      <c r="H2" t="s">
        <v>55</v>
      </c>
      <c r="I2" s="7">
        <v>40179</v>
      </c>
      <c r="J2" t="s">
        <v>56</v>
      </c>
      <c r="K2" t="s">
        <v>13</v>
      </c>
      <c r="L2" t="s">
        <v>57</v>
      </c>
    </row>
    <row r="3" spans="1:13" x14ac:dyDescent="0.35">
      <c r="A3" t="s">
        <v>58</v>
      </c>
      <c r="B3" t="s">
        <v>59</v>
      </c>
      <c r="C3" t="s">
        <v>60</v>
      </c>
      <c r="D3" t="s">
        <v>50</v>
      </c>
      <c r="E3" s="6">
        <v>1</v>
      </c>
      <c r="F3" s="6">
        <v>1</v>
      </c>
      <c r="G3" t="s">
        <v>54</v>
      </c>
      <c r="H3" t="s">
        <v>61</v>
      </c>
      <c r="I3" s="7">
        <v>43922</v>
      </c>
      <c r="J3" t="s">
        <v>56</v>
      </c>
      <c r="K3" t="s">
        <v>13</v>
      </c>
      <c r="L3" t="s">
        <v>62</v>
      </c>
      <c r="M3" t="s">
        <v>63</v>
      </c>
    </row>
    <row r="4" spans="1:13" x14ac:dyDescent="0.35">
      <c r="A4" t="s">
        <v>64</v>
      </c>
      <c r="B4" t="s">
        <v>65</v>
      </c>
      <c r="C4" t="s">
        <v>60</v>
      </c>
      <c r="D4" t="s">
        <v>50</v>
      </c>
      <c r="E4" s="6">
        <v>0.6</v>
      </c>
      <c r="F4" s="6">
        <v>0.6</v>
      </c>
      <c r="G4" t="s">
        <v>54</v>
      </c>
      <c r="H4" t="s">
        <v>61</v>
      </c>
      <c r="I4" s="7">
        <v>44757</v>
      </c>
      <c r="J4" t="s">
        <v>56</v>
      </c>
      <c r="K4" t="s">
        <v>13</v>
      </c>
      <c r="L4" t="s">
        <v>62</v>
      </c>
      <c r="M4" t="s">
        <v>66</v>
      </c>
    </row>
    <row r="5" spans="1:13" x14ac:dyDescent="0.35">
      <c r="A5" t="s">
        <v>67</v>
      </c>
      <c r="B5" t="s">
        <v>68</v>
      </c>
      <c r="C5" t="s">
        <v>69</v>
      </c>
      <c r="D5" t="s">
        <v>50</v>
      </c>
      <c r="E5" s="6">
        <v>0.5</v>
      </c>
      <c r="F5" s="6">
        <v>0.5</v>
      </c>
      <c r="G5" t="s">
        <v>70</v>
      </c>
      <c r="H5" t="s">
        <v>71</v>
      </c>
      <c r="I5" s="7">
        <v>44256</v>
      </c>
      <c r="J5" t="s">
        <v>56</v>
      </c>
      <c r="K5" t="s">
        <v>13</v>
      </c>
      <c r="L5" t="s">
        <v>62</v>
      </c>
      <c r="M5" t="s">
        <v>72</v>
      </c>
    </row>
    <row r="6" spans="1:13" x14ac:dyDescent="0.35">
      <c r="A6" t="s">
        <v>73</v>
      </c>
      <c r="B6" t="s">
        <v>74</v>
      </c>
      <c r="C6" t="s">
        <v>75</v>
      </c>
      <c r="D6" t="s">
        <v>50</v>
      </c>
      <c r="E6" s="6">
        <v>0.26</v>
      </c>
      <c r="F6" s="6">
        <v>0.26</v>
      </c>
      <c r="G6" t="s">
        <v>70</v>
      </c>
      <c r="H6" t="s">
        <v>76</v>
      </c>
      <c r="I6" s="7">
        <v>43709</v>
      </c>
      <c r="J6" t="s">
        <v>56</v>
      </c>
      <c r="K6" t="s">
        <v>13</v>
      </c>
      <c r="L6" t="s">
        <v>62</v>
      </c>
      <c r="M6" t="s">
        <v>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0EE90"/>
  </sheetPr>
  <dimension ref="A1:Q5"/>
  <sheetViews>
    <sheetView topLeftCell="K1" workbookViewId="0">
      <pane ySplit="1" topLeftCell="A2" activePane="bottomLeft" state="frozen"/>
      <selection pane="bottomLeft" activeCell="Q2" sqref="Q2"/>
    </sheetView>
  </sheetViews>
  <sheetFormatPr defaultRowHeight="14.5" x14ac:dyDescent="0.35"/>
  <cols>
    <col min="1" max="1" width="12" customWidth="1"/>
    <col min="2" max="2" width="35" customWidth="1"/>
    <col min="3" max="4" width="12" customWidth="1"/>
    <col min="5" max="7" width="15" customWidth="1"/>
    <col min="8" max="8" width="12" customWidth="1"/>
    <col min="9" max="9" width="25" customWidth="1"/>
    <col min="10" max="12" width="15" customWidth="1"/>
    <col min="13" max="13" width="12" customWidth="1"/>
    <col min="14" max="14" width="15" customWidth="1"/>
    <col min="15" max="16" width="18" customWidth="1"/>
    <col min="17" max="17" width="40" customWidth="1"/>
  </cols>
  <sheetData>
    <row r="1" spans="1:17" x14ac:dyDescent="0.35">
      <c r="A1" s="8" t="s">
        <v>78</v>
      </c>
      <c r="B1" s="8" t="s">
        <v>79</v>
      </c>
      <c r="C1" s="8" t="s">
        <v>37</v>
      </c>
      <c r="D1" s="8" t="s">
        <v>80</v>
      </c>
      <c r="E1" s="8" t="s">
        <v>81</v>
      </c>
      <c r="F1" s="8" t="s">
        <v>82</v>
      </c>
      <c r="G1" s="8" t="s">
        <v>83</v>
      </c>
      <c r="H1" s="8" t="s">
        <v>84</v>
      </c>
      <c r="I1" s="8" t="s">
        <v>85</v>
      </c>
      <c r="J1" s="8" t="s">
        <v>86</v>
      </c>
      <c r="K1" s="8" t="s">
        <v>87</v>
      </c>
      <c r="L1" s="8" t="s">
        <v>88</v>
      </c>
      <c r="M1" s="8" t="s">
        <v>89</v>
      </c>
      <c r="N1" s="8" t="s">
        <v>90</v>
      </c>
      <c r="O1" s="8" t="s">
        <v>91</v>
      </c>
      <c r="P1" s="8" t="s">
        <v>92</v>
      </c>
      <c r="Q1" s="8" t="s">
        <v>49</v>
      </c>
    </row>
    <row r="2" spans="1:17" x14ac:dyDescent="0.35">
      <c r="A2" t="s">
        <v>93</v>
      </c>
      <c r="B2" t="s">
        <v>94</v>
      </c>
      <c r="C2" t="s">
        <v>58</v>
      </c>
      <c r="D2" t="s">
        <v>95</v>
      </c>
      <c r="E2" t="s">
        <v>96</v>
      </c>
      <c r="F2" t="s">
        <v>97</v>
      </c>
      <c r="G2" s="9">
        <v>10</v>
      </c>
      <c r="H2" t="s">
        <v>98</v>
      </c>
      <c r="I2" t="s">
        <v>99</v>
      </c>
      <c r="J2" s="7">
        <v>44362</v>
      </c>
      <c r="K2" t="s">
        <v>100</v>
      </c>
      <c r="L2" t="s">
        <v>97</v>
      </c>
      <c r="M2" s="9">
        <v>4.5</v>
      </c>
      <c r="N2">
        <v>25</v>
      </c>
      <c r="O2" s="9">
        <v>60</v>
      </c>
      <c r="P2" t="s">
        <v>101</v>
      </c>
      <c r="Q2" t="s">
        <v>102</v>
      </c>
    </row>
    <row r="3" spans="1:17" x14ac:dyDescent="0.35">
      <c r="A3" t="s">
        <v>103</v>
      </c>
      <c r="B3" t="s">
        <v>104</v>
      </c>
      <c r="C3" t="s">
        <v>64</v>
      </c>
      <c r="D3" t="s">
        <v>95</v>
      </c>
      <c r="E3" t="s">
        <v>105</v>
      </c>
      <c r="F3" t="s">
        <v>106</v>
      </c>
      <c r="G3" s="9">
        <v>50</v>
      </c>
      <c r="H3" t="s">
        <v>98</v>
      </c>
      <c r="I3" t="s">
        <v>107</v>
      </c>
      <c r="J3" s="7">
        <v>44986</v>
      </c>
      <c r="K3" t="s">
        <v>100</v>
      </c>
      <c r="L3" t="s">
        <v>108</v>
      </c>
      <c r="M3" s="9">
        <v>2.8</v>
      </c>
      <c r="N3">
        <v>25</v>
      </c>
      <c r="O3" s="9">
        <v>250</v>
      </c>
      <c r="P3" t="s">
        <v>109</v>
      </c>
      <c r="Q3" t="s">
        <v>110</v>
      </c>
    </row>
    <row r="4" spans="1:17" x14ac:dyDescent="0.35">
      <c r="A4" t="s">
        <v>111</v>
      </c>
      <c r="B4" t="s">
        <v>112</v>
      </c>
      <c r="C4" t="s">
        <v>58</v>
      </c>
      <c r="D4" t="s">
        <v>113</v>
      </c>
      <c r="E4" t="s">
        <v>114</v>
      </c>
      <c r="F4" t="s">
        <v>53</v>
      </c>
      <c r="G4" s="9">
        <v>10</v>
      </c>
      <c r="H4" t="s">
        <v>115</v>
      </c>
      <c r="I4" t="s">
        <v>116</v>
      </c>
      <c r="K4" t="s">
        <v>117</v>
      </c>
      <c r="L4" t="s">
        <v>97</v>
      </c>
      <c r="M4" s="9">
        <v>0</v>
      </c>
      <c r="N4">
        <v>10</v>
      </c>
      <c r="O4" s="9">
        <v>80</v>
      </c>
      <c r="P4" t="s">
        <v>118</v>
      </c>
      <c r="Q4" t="s">
        <v>119</v>
      </c>
    </row>
    <row r="5" spans="1:17" x14ac:dyDescent="0.35">
      <c r="A5" t="s">
        <v>120</v>
      </c>
      <c r="B5" t="s">
        <v>121</v>
      </c>
      <c r="C5" t="s">
        <v>73</v>
      </c>
      <c r="D5" t="s">
        <v>122</v>
      </c>
      <c r="E5" t="s">
        <v>123</v>
      </c>
      <c r="F5" t="s">
        <v>53</v>
      </c>
      <c r="G5" s="9">
        <v>5</v>
      </c>
      <c r="H5" t="s">
        <v>124</v>
      </c>
      <c r="I5" t="s">
        <v>125</v>
      </c>
      <c r="J5" s="7">
        <v>44136</v>
      </c>
      <c r="K5" t="s">
        <v>100</v>
      </c>
      <c r="L5" t="s">
        <v>126</v>
      </c>
      <c r="M5" s="9">
        <v>0</v>
      </c>
      <c r="N5">
        <v>0</v>
      </c>
      <c r="O5" s="9">
        <v>15</v>
      </c>
      <c r="P5" t="s">
        <v>127</v>
      </c>
      <c r="Q5" t="s">
        <v>128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3D3D3"/>
  </sheetPr>
  <dimension ref="A1:P13"/>
  <sheetViews>
    <sheetView topLeftCell="J1" workbookViewId="0">
      <selection activeCell="K3" sqref="K3"/>
    </sheetView>
  </sheetViews>
  <sheetFormatPr defaultRowHeight="14.5" x14ac:dyDescent="0.35"/>
  <cols>
    <col min="1" max="16" width="20" customWidth="1"/>
  </cols>
  <sheetData>
    <row r="1" spans="1:16" x14ac:dyDescent="0.35">
      <c r="A1" s="10" t="s">
        <v>129</v>
      </c>
      <c r="B1" s="10" t="s">
        <v>130</v>
      </c>
      <c r="C1" s="10" t="s">
        <v>131</v>
      </c>
      <c r="D1" s="10" t="s">
        <v>132</v>
      </c>
      <c r="E1" s="10" t="s">
        <v>133</v>
      </c>
      <c r="F1" s="10" t="s">
        <v>134</v>
      </c>
      <c r="G1" s="10" t="s">
        <v>135</v>
      </c>
      <c r="H1" s="10" t="s">
        <v>87</v>
      </c>
      <c r="I1" s="10" t="s">
        <v>88</v>
      </c>
      <c r="J1" s="10" t="s">
        <v>46</v>
      </c>
      <c r="K1" s="10" t="s">
        <v>136</v>
      </c>
      <c r="L1" s="10" t="s">
        <v>43</v>
      </c>
      <c r="M1" s="10" t="s">
        <v>137</v>
      </c>
      <c r="N1" s="10" t="s">
        <v>138</v>
      </c>
      <c r="O1" s="10" t="s">
        <v>139</v>
      </c>
      <c r="P1" s="10" t="s">
        <v>140</v>
      </c>
    </row>
    <row r="2" spans="1:16" x14ac:dyDescent="0.35">
      <c r="A2" t="s">
        <v>52</v>
      </c>
      <c r="B2" t="s">
        <v>95</v>
      </c>
      <c r="C2" t="s">
        <v>96</v>
      </c>
      <c r="D2" t="s">
        <v>97</v>
      </c>
      <c r="E2" t="s">
        <v>97</v>
      </c>
      <c r="F2" t="s">
        <v>123</v>
      </c>
      <c r="G2" t="s">
        <v>114</v>
      </c>
      <c r="H2" t="s">
        <v>117</v>
      </c>
      <c r="I2" t="s">
        <v>141</v>
      </c>
      <c r="J2" t="s">
        <v>56</v>
      </c>
      <c r="K2" t="s">
        <v>13</v>
      </c>
      <c r="L2" t="s">
        <v>54</v>
      </c>
      <c r="M2" t="s">
        <v>57</v>
      </c>
      <c r="N2" t="s">
        <v>5</v>
      </c>
      <c r="O2" t="s">
        <v>142</v>
      </c>
      <c r="P2" t="s">
        <v>143</v>
      </c>
    </row>
    <row r="3" spans="1:16" x14ac:dyDescent="0.35">
      <c r="A3" t="s">
        <v>60</v>
      </c>
      <c r="B3" t="s">
        <v>122</v>
      </c>
      <c r="C3" t="s">
        <v>105</v>
      </c>
      <c r="D3" t="s">
        <v>144</v>
      </c>
      <c r="E3" t="s">
        <v>145</v>
      </c>
      <c r="F3" t="s">
        <v>146</v>
      </c>
      <c r="G3" t="s">
        <v>147</v>
      </c>
      <c r="H3" t="s">
        <v>100</v>
      </c>
      <c r="I3" t="s">
        <v>108</v>
      </c>
      <c r="J3" t="s">
        <v>148</v>
      </c>
      <c r="K3" t="s">
        <v>149</v>
      </c>
      <c r="L3" t="s">
        <v>70</v>
      </c>
      <c r="M3" t="s">
        <v>62</v>
      </c>
      <c r="N3" t="s">
        <v>150</v>
      </c>
      <c r="O3" t="s">
        <v>151</v>
      </c>
      <c r="P3" t="s">
        <v>152</v>
      </c>
    </row>
    <row r="4" spans="1:16" x14ac:dyDescent="0.35">
      <c r="A4" t="s">
        <v>69</v>
      </c>
      <c r="B4" t="s">
        <v>113</v>
      </c>
      <c r="C4" t="s">
        <v>153</v>
      </c>
      <c r="D4" t="s">
        <v>154</v>
      </c>
      <c r="E4" t="s">
        <v>155</v>
      </c>
      <c r="F4" t="s">
        <v>156</v>
      </c>
      <c r="G4" t="s">
        <v>157</v>
      </c>
      <c r="H4" t="s">
        <v>158</v>
      </c>
      <c r="I4" t="s">
        <v>97</v>
      </c>
      <c r="J4" t="s">
        <v>158</v>
      </c>
      <c r="K4" t="s">
        <v>159</v>
      </c>
      <c r="L4" t="s">
        <v>160</v>
      </c>
      <c r="M4" t="s">
        <v>161</v>
      </c>
      <c r="N4" t="s">
        <v>162</v>
      </c>
      <c r="O4" t="s">
        <v>163</v>
      </c>
    </row>
    <row r="5" spans="1:16" x14ac:dyDescent="0.35">
      <c r="A5" t="s">
        <v>75</v>
      </c>
      <c r="B5" t="s">
        <v>164</v>
      </c>
      <c r="C5" t="s">
        <v>165</v>
      </c>
      <c r="D5" t="s">
        <v>157</v>
      </c>
      <c r="E5" t="s">
        <v>126</v>
      </c>
      <c r="F5" t="s">
        <v>166</v>
      </c>
      <c r="I5" t="s">
        <v>167</v>
      </c>
      <c r="M5" t="s">
        <v>168</v>
      </c>
      <c r="N5" t="s">
        <v>169</v>
      </c>
      <c r="O5" t="s">
        <v>170</v>
      </c>
    </row>
    <row r="6" spans="1:16" x14ac:dyDescent="0.35">
      <c r="B6" t="s">
        <v>171</v>
      </c>
      <c r="C6" t="s">
        <v>157</v>
      </c>
      <c r="E6" t="s">
        <v>157</v>
      </c>
      <c r="F6" t="s">
        <v>157</v>
      </c>
      <c r="I6" t="s">
        <v>126</v>
      </c>
      <c r="M6" t="s">
        <v>157</v>
      </c>
      <c r="N6" t="s">
        <v>172</v>
      </c>
    </row>
    <row r="7" spans="1:16" x14ac:dyDescent="0.35">
      <c r="B7" t="s">
        <v>157</v>
      </c>
      <c r="N7" t="s">
        <v>173</v>
      </c>
    </row>
    <row r="8" spans="1:16" x14ac:dyDescent="0.35">
      <c r="N8" t="s">
        <v>174</v>
      </c>
    </row>
    <row r="9" spans="1:16" x14ac:dyDescent="0.35">
      <c r="N9" t="s">
        <v>175</v>
      </c>
    </row>
    <row r="10" spans="1:16" x14ac:dyDescent="0.35">
      <c r="N10" t="s">
        <v>176</v>
      </c>
    </row>
    <row r="11" spans="1:16" x14ac:dyDescent="0.35">
      <c r="N11" t="s">
        <v>177</v>
      </c>
    </row>
    <row r="12" spans="1:16" x14ac:dyDescent="0.35">
      <c r="N12" t="s">
        <v>178</v>
      </c>
    </row>
    <row r="13" spans="1:16" x14ac:dyDescent="0.35">
      <c r="N13" t="s">
        <v>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E0"/>
  </sheetPr>
  <dimension ref="A1:L28"/>
  <sheetViews>
    <sheetView workbookViewId="0">
      <pane ySplit="1" topLeftCell="A15" activePane="bottomLeft" state="frozen"/>
      <selection pane="bottomLeft" activeCell="G16" sqref="G16"/>
    </sheetView>
  </sheetViews>
  <sheetFormatPr defaultRowHeight="14.5" x14ac:dyDescent="0.35"/>
  <cols>
    <col min="1" max="1" width="15" customWidth="1"/>
    <col min="2" max="2" width="40" customWidth="1"/>
    <col min="3" max="3" width="15" customWidth="1"/>
    <col min="4" max="4" width="20" customWidth="1"/>
    <col min="5" max="5" width="15" customWidth="1"/>
    <col min="6" max="6" width="12" customWidth="1"/>
    <col min="7" max="7" width="30" customWidth="1"/>
    <col min="8" max="10" width="15" customWidth="1"/>
    <col min="11" max="11" width="12" customWidth="1"/>
    <col min="12" max="12" width="30" customWidth="1"/>
  </cols>
  <sheetData>
    <row r="1" spans="1:12" x14ac:dyDescent="0.35">
      <c r="A1" s="11" t="s">
        <v>180</v>
      </c>
      <c r="B1" s="11" t="s">
        <v>181</v>
      </c>
      <c r="C1" s="11" t="s">
        <v>182</v>
      </c>
      <c r="D1" s="11" t="s">
        <v>183</v>
      </c>
      <c r="E1" s="11" t="s">
        <v>184</v>
      </c>
      <c r="F1" s="11" t="s">
        <v>185</v>
      </c>
      <c r="G1" s="11" t="s">
        <v>186</v>
      </c>
      <c r="H1" s="11" t="s">
        <v>187</v>
      </c>
      <c r="I1" s="11" t="s">
        <v>188</v>
      </c>
      <c r="J1" s="11" t="s">
        <v>189</v>
      </c>
      <c r="K1" s="11" t="s">
        <v>190</v>
      </c>
      <c r="L1" s="11" t="s">
        <v>49</v>
      </c>
    </row>
    <row r="2" spans="1:12" x14ac:dyDescent="0.35">
      <c r="A2" t="s">
        <v>191</v>
      </c>
      <c r="B2" t="s">
        <v>192</v>
      </c>
      <c r="C2" t="s">
        <v>193</v>
      </c>
      <c r="D2" t="s">
        <v>194</v>
      </c>
      <c r="E2">
        <v>1000</v>
      </c>
      <c r="F2">
        <v>0</v>
      </c>
      <c r="H2" t="s">
        <v>195</v>
      </c>
      <c r="J2" t="s">
        <v>196</v>
      </c>
      <c r="K2" t="s">
        <v>196</v>
      </c>
      <c r="L2" t="s">
        <v>197</v>
      </c>
    </row>
    <row r="3" spans="1:12" x14ac:dyDescent="0.35">
      <c r="A3" t="s">
        <v>198</v>
      </c>
      <c r="B3" t="s">
        <v>199</v>
      </c>
      <c r="C3" t="s">
        <v>193</v>
      </c>
      <c r="D3" t="s">
        <v>200</v>
      </c>
      <c r="E3">
        <v>100</v>
      </c>
      <c r="F3">
        <v>1</v>
      </c>
      <c r="H3" t="s">
        <v>195</v>
      </c>
      <c r="I3" t="s">
        <v>191</v>
      </c>
      <c r="J3" t="s">
        <v>196</v>
      </c>
      <c r="K3" t="s">
        <v>196</v>
      </c>
      <c r="L3" t="s">
        <v>201</v>
      </c>
    </row>
    <row r="4" spans="1:12" x14ac:dyDescent="0.35">
      <c r="A4" t="s">
        <v>202</v>
      </c>
      <c r="B4" t="s">
        <v>203</v>
      </c>
      <c r="C4" t="s">
        <v>193</v>
      </c>
      <c r="D4" t="s">
        <v>200</v>
      </c>
      <c r="E4">
        <v>110</v>
      </c>
      <c r="F4">
        <v>2</v>
      </c>
      <c r="G4" t="s">
        <v>204</v>
      </c>
      <c r="H4" t="s">
        <v>195</v>
      </c>
      <c r="I4" t="s">
        <v>198</v>
      </c>
      <c r="J4" t="s">
        <v>196</v>
      </c>
      <c r="K4" t="s">
        <v>205</v>
      </c>
      <c r="L4" t="s">
        <v>206</v>
      </c>
    </row>
    <row r="5" spans="1:12" x14ac:dyDescent="0.35">
      <c r="A5" t="s">
        <v>207</v>
      </c>
      <c r="B5" t="s">
        <v>208</v>
      </c>
      <c r="C5" t="s">
        <v>193</v>
      </c>
      <c r="D5" t="s">
        <v>200</v>
      </c>
      <c r="E5">
        <v>120</v>
      </c>
      <c r="F5">
        <v>2</v>
      </c>
      <c r="G5" t="s">
        <v>209</v>
      </c>
      <c r="H5" t="s">
        <v>195</v>
      </c>
      <c r="I5" t="s">
        <v>198</v>
      </c>
      <c r="J5" t="s">
        <v>196</v>
      </c>
      <c r="K5" t="s">
        <v>205</v>
      </c>
      <c r="L5" t="s">
        <v>117</v>
      </c>
    </row>
    <row r="6" spans="1:12" x14ac:dyDescent="0.35">
      <c r="A6" t="s">
        <v>210</v>
      </c>
      <c r="B6" t="s">
        <v>211</v>
      </c>
      <c r="C6" t="s">
        <v>193</v>
      </c>
      <c r="D6" t="s">
        <v>200</v>
      </c>
      <c r="E6">
        <v>130</v>
      </c>
      <c r="F6">
        <v>2</v>
      </c>
      <c r="G6" t="s">
        <v>212</v>
      </c>
      <c r="H6" t="s">
        <v>195</v>
      </c>
      <c r="I6" t="s">
        <v>198</v>
      </c>
      <c r="J6" t="s">
        <v>196</v>
      </c>
      <c r="K6" t="s">
        <v>205</v>
      </c>
      <c r="L6" t="s">
        <v>213</v>
      </c>
    </row>
    <row r="7" spans="1:12" x14ac:dyDescent="0.35">
      <c r="A7" t="s">
        <v>214</v>
      </c>
      <c r="B7" t="s">
        <v>215</v>
      </c>
      <c r="C7" t="s">
        <v>193</v>
      </c>
      <c r="D7" t="s">
        <v>200</v>
      </c>
      <c r="E7">
        <v>140</v>
      </c>
      <c r="F7">
        <v>2</v>
      </c>
      <c r="G7" t="s">
        <v>216</v>
      </c>
      <c r="H7" t="s">
        <v>195</v>
      </c>
      <c r="I7" t="s">
        <v>198</v>
      </c>
      <c r="J7" t="s">
        <v>196</v>
      </c>
      <c r="K7" t="s">
        <v>205</v>
      </c>
      <c r="L7" t="s">
        <v>217</v>
      </c>
    </row>
    <row r="8" spans="1:12" x14ac:dyDescent="0.35">
      <c r="A8" t="s">
        <v>218</v>
      </c>
      <c r="B8" t="s">
        <v>219</v>
      </c>
      <c r="C8" t="s">
        <v>193</v>
      </c>
      <c r="D8" t="s">
        <v>200</v>
      </c>
      <c r="E8">
        <v>150</v>
      </c>
      <c r="F8">
        <v>2</v>
      </c>
      <c r="H8" t="s">
        <v>195</v>
      </c>
      <c r="I8" t="s">
        <v>198</v>
      </c>
      <c r="J8" t="s">
        <v>196</v>
      </c>
      <c r="K8" t="s">
        <v>196</v>
      </c>
      <c r="L8" t="s">
        <v>220</v>
      </c>
    </row>
    <row r="9" spans="1:12" x14ac:dyDescent="0.35">
      <c r="A9" t="s">
        <v>221</v>
      </c>
      <c r="B9" t="s">
        <v>222</v>
      </c>
      <c r="C9" t="s">
        <v>193</v>
      </c>
      <c r="D9" t="s">
        <v>200</v>
      </c>
      <c r="E9">
        <v>151</v>
      </c>
      <c r="F9">
        <v>3</v>
      </c>
      <c r="G9" t="s">
        <v>223</v>
      </c>
      <c r="H9" t="s">
        <v>195</v>
      </c>
      <c r="I9" t="s">
        <v>218</v>
      </c>
      <c r="J9" t="s">
        <v>196</v>
      </c>
      <c r="K9" t="s">
        <v>205</v>
      </c>
      <c r="L9" t="s">
        <v>224</v>
      </c>
    </row>
    <row r="10" spans="1:12" x14ac:dyDescent="0.35">
      <c r="A10" t="s">
        <v>225</v>
      </c>
      <c r="B10" t="s">
        <v>226</v>
      </c>
      <c r="C10" t="s">
        <v>193</v>
      </c>
      <c r="D10" t="s">
        <v>200</v>
      </c>
      <c r="E10">
        <v>152</v>
      </c>
      <c r="F10">
        <v>3</v>
      </c>
      <c r="G10" t="s">
        <v>227</v>
      </c>
      <c r="H10" t="s">
        <v>195</v>
      </c>
      <c r="I10" t="s">
        <v>218</v>
      </c>
      <c r="J10" t="s">
        <v>196</v>
      </c>
      <c r="K10" t="s">
        <v>205</v>
      </c>
      <c r="L10" t="s">
        <v>228</v>
      </c>
    </row>
    <row r="11" spans="1:12" x14ac:dyDescent="0.35">
      <c r="A11" t="s">
        <v>229</v>
      </c>
      <c r="B11" t="s">
        <v>230</v>
      </c>
      <c r="C11" t="s">
        <v>193</v>
      </c>
      <c r="D11" t="s">
        <v>200</v>
      </c>
      <c r="E11">
        <v>153</v>
      </c>
      <c r="F11">
        <v>3</v>
      </c>
      <c r="G11" t="s">
        <v>231</v>
      </c>
      <c r="H11" t="s">
        <v>195</v>
      </c>
      <c r="I11" t="s">
        <v>218</v>
      </c>
      <c r="J11" t="s">
        <v>196</v>
      </c>
      <c r="K11" t="s">
        <v>205</v>
      </c>
      <c r="L11" t="s">
        <v>232</v>
      </c>
    </row>
    <row r="12" spans="1:12" x14ac:dyDescent="0.35">
      <c r="A12" t="s">
        <v>233</v>
      </c>
      <c r="B12" t="s">
        <v>234</v>
      </c>
      <c r="C12" t="s">
        <v>193</v>
      </c>
      <c r="D12" t="s">
        <v>16</v>
      </c>
      <c r="E12">
        <v>200</v>
      </c>
      <c r="F12">
        <v>1</v>
      </c>
      <c r="H12" t="s">
        <v>195</v>
      </c>
      <c r="I12" t="s">
        <v>191</v>
      </c>
      <c r="J12" t="s">
        <v>196</v>
      </c>
      <c r="K12" t="s">
        <v>196</v>
      </c>
      <c r="L12" t="s">
        <v>201</v>
      </c>
    </row>
    <row r="13" spans="1:12" x14ac:dyDescent="0.35">
      <c r="A13" t="s">
        <v>235</v>
      </c>
      <c r="B13" t="s">
        <v>236</v>
      </c>
      <c r="C13" t="s">
        <v>193</v>
      </c>
      <c r="D13" t="s">
        <v>16</v>
      </c>
      <c r="E13">
        <v>210</v>
      </c>
      <c r="F13">
        <v>2</v>
      </c>
      <c r="G13" t="s">
        <v>237</v>
      </c>
      <c r="H13" t="s">
        <v>195</v>
      </c>
      <c r="I13" t="s">
        <v>233</v>
      </c>
      <c r="J13" t="s">
        <v>196</v>
      </c>
      <c r="K13" t="s">
        <v>205</v>
      </c>
      <c r="L13" t="s">
        <v>238</v>
      </c>
    </row>
    <row r="14" spans="1:12" x14ac:dyDescent="0.35">
      <c r="A14" t="s">
        <v>239</v>
      </c>
      <c r="B14" t="s">
        <v>240</v>
      </c>
      <c r="C14" t="s">
        <v>193</v>
      </c>
      <c r="D14" t="s">
        <v>16</v>
      </c>
      <c r="E14">
        <v>220</v>
      </c>
      <c r="F14">
        <v>2</v>
      </c>
      <c r="H14" t="s">
        <v>195</v>
      </c>
      <c r="I14" t="s">
        <v>233</v>
      </c>
      <c r="J14" t="s">
        <v>196</v>
      </c>
      <c r="K14" t="s">
        <v>196</v>
      </c>
      <c r="L14" t="s">
        <v>220</v>
      </c>
    </row>
    <row r="15" spans="1:12" x14ac:dyDescent="0.35">
      <c r="A15" t="s">
        <v>241</v>
      </c>
      <c r="B15" t="s">
        <v>242</v>
      </c>
      <c r="C15" t="s">
        <v>193</v>
      </c>
      <c r="D15" t="s">
        <v>16</v>
      </c>
      <c r="E15">
        <v>221</v>
      </c>
      <c r="F15">
        <v>3</v>
      </c>
      <c r="G15" t="s">
        <v>243</v>
      </c>
      <c r="H15" t="s">
        <v>195</v>
      </c>
      <c r="I15" t="s">
        <v>239</v>
      </c>
      <c r="J15" t="s">
        <v>196</v>
      </c>
      <c r="K15" t="s">
        <v>205</v>
      </c>
      <c r="L15" t="s">
        <v>244</v>
      </c>
    </row>
    <row r="16" spans="1:12" x14ac:dyDescent="0.35">
      <c r="A16" t="s">
        <v>245</v>
      </c>
      <c r="B16" t="s">
        <v>246</v>
      </c>
      <c r="C16" t="s">
        <v>193</v>
      </c>
      <c r="D16" t="s">
        <v>16</v>
      </c>
      <c r="E16">
        <v>222</v>
      </c>
      <c r="F16">
        <v>3</v>
      </c>
      <c r="G16" t="s">
        <v>247</v>
      </c>
      <c r="H16" t="s">
        <v>195</v>
      </c>
      <c r="I16" t="s">
        <v>239</v>
      </c>
      <c r="J16" t="s">
        <v>196</v>
      </c>
      <c r="K16" t="s">
        <v>205</v>
      </c>
      <c r="L16" t="s">
        <v>248</v>
      </c>
    </row>
    <row r="17" spans="1:12" x14ac:dyDescent="0.35">
      <c r="A17" t="s">
        <v>249</v>
      </c>
      <c r="B17" t="s">
        <v>250</v>
      </c>
      <c r="C17" t="s">
        <v>70</v>
      </c>
      <c r="D17" t="s">
        <v>194</v>
      </c>
      <c r="E17">
        <v>2000</v>
      </c>
      <c r="F17">
        <v>0</v>
      </c>
      <c r="H17" t="s">
        <v>251</v>
      </c>
      <c r="J17" t="s">
        <v>196</v>
      </c>
      <c r="K17" t="s">
        <v>196</v>
      </c>
      <c r="L17" t="s">
        <v>197</v>
      </c>
    </row>
    <row r="18" spans="1:12" x14ac:dyDescent="0.35">
      <c r="A18" t="s">
        <v>252</v>
      </c>
      <c r="B18" t="s">
        <v>70</v>
      </c>
      <c r="C18" t="s">
        <v>70</v>
      </c>
      <c r="D18" t="s">
        <v>70</v>
      </c>
      <c r="E18">
        <v>2100</v>
      </c>
      <c r="F18">
        <v>1</v>
      </c>
      <c r="H18" t="s">
        <v>251</v>
      </c>
      <c r="I18" t="s">
        <v>249</v>
      </c>
      <c r="J18" t="s">
        <v>196</v>
      </c>
      <c r="K18" t="s">
        <v>196</v>
      </c>
      <c r="L18" t="s">
        <v>201</v>
      </c>
    </row>
    <row r="19" spans="1:12" x14ac:dyDescent="0.35">
      <c r="A19" t="s">
        <v>253</v>
      </c>
      <c r="B19" t="s">
        <v>254</v>
      </c>
      <c r="C19" t="s">
        <v>70</v>
      </c>
      <c r="D19" t="s">
        <v>70</v>
      </c>
      <c r="E19">
        <v>2110</v>
      </c>
      <c r="F19">
        <v>2</v>
      </c>
      <c r="G19" t="s">
        <v>255</v>
      </c>
      <c r="H19" t="s">
        <v>251</v>
      </c>
      <c r="I19" t="s">
        <v>252</v>
      </c>
      <c r="J19" t="s">
        <v>196</v>
      </c>
      <c r="K19" t="s">
        <v>205</v>
      </c>
      <c r="L19" t="s">
        <v>256</v>
      </c>
    </row>
    <row r="20" spans="1:12" x14ac:dyDescent="0.35">
      <c r="A20" t="s">
        <v>257</v>
      </c>
      <c r="B20" t="s">
        <v>258</v>
      </c>
      <c r="C20" t="s">
        <v>70</v>
      </c>
      <c r="D20" t="s">
        <v>70</v>
      </c>
      <c r="E20">
        <v>2120</v>
      </c>
      <c r="F20">
        <v>2</v>
      </c>
      <c r="G20" t="s">
        <v>259</v>
      </c>
      <c r="H20" t="s">
        <v>251</v>
      </c>
      <c r="I20" t="s">
        <v>252</v>
      </c>
      <c r="J20" t="s">
        <v>196</v>
      </c>
      <c r="K20" t="s">
        <v>205</v>
      </c>
      <c r="L20" t="s">
        <v>260</v>
      </c>
    </row>
    <row r="21" spans="1:12" x14ac:dyDescent="0.35">
      <c r="A21" t="s">
        <v>261</v>
      </c>
      <c r="B21" t="s">
        <v>262</v>
      </c>
      <c r="C21" t="s">
        <v>70</v>
      </c>
      <c r="D21" t="s">
        <v>70</v>
      </c>
      <c r="E21">
        <v>2130</v>
      </c>
      <c r="F21">
        <v>2</v>
      </c>
      <c r="G21" t="s">
        <v>263</v>
      </c>
      <c r="H21" t="s">
        <v>251</v>
      </c>
      <c r="I21" t="s">
        <v>252</v>
      </c>
      <c r="J21" t="s">
        <v>196</v>
      </c>
      <c r="K21" t="s">
        <v>205</v>
      </c>
      <c r="L21" t="s">
        <v>264</v>
      </c>
    </row>
    <row r="22" spans="1:12" x14ac:dyDescent="0.35">
      <c r="A22" t="s">
        <v>265</v>
      </c>
      <c r="B22" t="s">
        <v>266</v>
      </c>
      <c r="C22" t="s">
        <v>267</v>
      </c>
      <c r="D22" t="s">
        <v>200</v>
      </c>
      <c r="E22">
        <v>2200</v>
      </c>
      <c r="F22">
        <v>1</v>
      </c>
      <c r="H22" t="s">
        <v>251</v>
      </c>
      <c r="I22" t="s">
        <v>249</v>
      </c>
      <c r="J22" t="s">
        <v>196</v>
      </c>
      <c r="K22" t="s">
        <v>196</v>
      </c>
      <c r="L22" t="s">
        <v>201</v>
      </c>
    </row>
    <row r="23" spans="1:12" x14ac:dyDescent="0.35">
      <c r="A23" t="s">
        <v>268</v>
      </c>
      <c r="B23" t="s">
        <v>269</v>
      </c>
      <c r="C23" t="s">
        <v>267</v>
      </c>
      <c r="D23" t="s">
        <v>200</v>
      </c>
      <c r="E23">
        <v>2210</v>
      </c>
      <c r="F23">
        <v>2</v>
      </c>
      <c r="H23" t="s">
        <v>251</v>
      </c>
      <c r="I23" t="s">
        <v>265</v>
      </c>
      <c r="J23" t="s">
        <v>196</v>
      </c>
      <c r="K23" t="s">
        <v>196</v>
      </c>
      <c r="L23" t="s">
        <v>220</v>
      </c>
    </row>
    <row r="24" spans="1:12" x14ac:dyDescent="0.35">
      <c r="A24" t="s">
        <v>270</v>
      </c>
      <c r="B24" t="s">
        <v>271</v>
      </c>
      <c r="C24" t="s">
        <v>267</v>
      </c>
      <c r="D24" t="s">
        <v>200</v>
      </c>
      <c r="E24">
        <v>2211</v>
      </c>
      <c r="F24">
        <v>3</v>
      </c>
      <c r="G24" t="s">
        <v>272</v>
      </c>
      <c r="H24" t="s">
        <v>251</v>
      </c>
      <c r="I24" t="s">
        <v>268</v>
      </c>
      <c r="J24" t="s">
        <v>196</v>
      </c>
      <c r="K24" t="s">
        <v>205</v>
      </c>
      <c r="L24" t="s">
        <v>273</v>
      </c>
    </row>
    <row r="25" spans="1:12" x14ac:dyDescent="0.35">
      <c r="A25" t="s">
        <v>274</v>
      </c>
      <c r="B25" t="s">
        <v>275</v>
      </c>
      <c r="C25" t="s">
        <v>267</v>
      </c>
      <c r="D25" t="s">
        <v>16</v>
      </c>
      <c r="E25">
        <v>2300</v>
      </c>
      <c r="F25">
        <v>1</v>
      </c>
      <c r="H25" t="s">
        <v>251</v>
      </c>
      <c r="I25" t="s">
        <v>249</v>
      </c>
      <c r="J25" t="s">
        <v>196</v>
      </c>
      <c r="K25" t="s">
        <v>196</v>
      </c>
      <c r="L25" t="s">
        <v>201</v>
      </c>
    </row>
    <row r="26" spans="1:12" x14ac:dyDescent="0.35">
      <c r="A26" t="s">
        <v>276</v>
      </c>
      <c r="B26" t="s">
        <v>277</v>
      </c>
      <c r="C26" t="s">
        <v>267</v>
      </c>
      <c r="D26" t="s">
        <v>16</v>
      </c>
      <c r="E26">
        <v>2310</v>
      </c>
      <c r="F26">
        <v>2</v>
      </c>
      <c r="H26" t="s">
        <v>251</v>
      </c>
      <c r="I26" t="s">
        <v>274</v>
      </c>
      <c r="J26" t="s">
        <v>196</v>
      </c>
      <c r="K26" t="s">
        <v>196</v>
      </c>
      <c r="L26" t="s">
        <v>220</v>
      </c>
    </row>
    <row r="27" spans="1:12" x14ac:dyDescent="0.35">
      <c r="A27" t="s">
        <v>278</v>
      </c>
      <c r="B27" t="s">
        <v>279</v>
      </c>
      <c r="C27" t="s">
        <v>267</v>
      </c>
      <c r="D27" t="s">
        <v>16</v>
      </c>
      <c r="E27">
        <v>2311</v>
      </c>
      <c r="F27">
        <v>3</v>
      </c>
      <c r="G27" t="s">
        <v>280</v>
      </c>
      <c r="H27" t="s">
        <v>251</v>
      </c>
      <c r="I27" t="s">
        <v>276</v>
      </c>
      <c r="J27" t="s">
        <v>196</v>
      </c>
      <c r="K27" t="s">
        <v>205</v>
      </c>
      <c r="L27" t="s">
        <v>281</v>
      </c>
    </row>
    <row r="28" spans="1:12" x14ac:dyDescent="0.35">
      <c r="A28" t="s">
        <v>282</v>
      </c>
      <c r="B28" t="s">
        <v>283</v>
      </c>
      <c r="C28" t="s">
        <v>267</v>
      </c>
      <c r="D28" t="s">
        <v>16</v>
      </c>
      <c r="E28">
        <v>2313</v>
      </c>
      <c r="F28">
        <v>3</v>
      </c>
      <c r="G28" t="s">
        <v>284</v>
      </c>
      <c r="H28" t="s">
        <v>251</v>
      </c>
      <c r="I28" t="s">
        <v>276</v>
      </c>
      <c r="J28" t="s">
        <v>196</v>
      </c>
      <c r="K28" t="s">
        <v>205</v>
      </c>
      <c r="L28" t="s">
        <v>285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E0"/>
  </sheetPr>
  <dimension ref="A1:J26"/>
  <sheetViews>
    <sheetView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15" customWidth="1"/>
    <col min="2" max="2" width="40" customWidth="1"/>
    <col min="3" max="3" width="15" customWidth="1"/>
    <col min="4" max="4" width="20" customWidth="1"/>
    <col min="5" max="5" width="15" customWidth="1"/>
    <col min="6" max="6" width="12" customWidth="1"/>
    <col min="7" max="7" width="30" customWidth="1"/>
    <col min="8" max="9" width="15" customWidth="1"/>
    <col min="10" max="10" width="18" customWidth="1"/>
  </cols>
  <sheetData>
    <row r="1" spans="1:10" x14ac:dyDescent="0.35">
      <c r="A1" s="11" t="s">
        <v>180</v>
      </c>
      <c r="B1" s="11" t="s">
        <v>181</v>
      </c>
      <c r="C1" s="11" t="s">
        <v>182</v>
      </c>
      <c r="D1" s="11" t="s">
        <v>183</v>
      </c>
      <c r="E1" s="11" t="s">
        <v>184</v>
      </c>
      <c r="F1" s="11" t="s">
        <v>185</v>
      </c>
      <c r="G1" s="11" t="s">
        <v>186</v>
      </c>
      <c r="H1" s="11" t="s">
        <v>187</v>
      </c>
      <c r="I1" s="11" t="s">
        <v>188</v>
      </c>
      <c r="J1" s="11" t="s">
        <v>286</v>
      </c>
    </row>
    <row r="2" spans="1:10" x14ac:dyDescent="0.35">
      <c r="A2" t="s">
        <v>287</v>
      </c>
      <c r="B2" t="s">
        <v>288</v>
      </c>
      <c r="C2" t="s">
        <v>289</v>
      </c>
      <c r="D2" t="s">
        <v>194</v>
      </c>
      <c r="E2">
        <v>1000</v>
      </c>
      <c r="F2">
        <v>0</v>
      </c>
      <c r="H2" t="s">
        <v>251</v>
      </c>
      <c r="J2" t="s">
        <v>205</v>
      </c>
    </row>
    <row r="3" spans="1:10" x14ac:dyDescent="0.35">
      <c r="A3" t="s">
        <v>290</v>
      </c>
      <c r="B3" t="s">
        <v>291</v>
      </c>
      <c r="C3" t="s">
        <v>289</v>
      </c>
      <c r="D3" t="s">
        <v>292</v>
      </c>
      <c r="E3">
        <v>100</v>
      </c>
      <c r="F3">
        <v>1</v>
      </c>
      <c r="H3" t="s">
        <v>251</v>
      </c>
      <c r="I3" t="s">
        <v>287</v>
      </c>
      <c r="J3" t="s">
        <v>196</v>
      </c>
    </row>
    <row r="4" spans="1:10" x14ac:dyDescent="0.35">
      <c r="A4" t="s">
        <v>293</v>
      </c>
      <c r="B4" t="s">
        <v>294</v>
      </c>
      <c r="C4" t="s">
        <v>289</v>
      </c>
      <c r="D4" t="s">
        <v>292</v>
      </c>
      <c r="E4">
        <v>110</v>
      </c>
      <c r="F4">
        <v>2</v>
      </c>
      <c r="G4" t="s">
        <v>295</v>
      </c>
      <c r="H4" t="s">
        <v>251</v>
      </c>
      <c r="I4" t="s">
        <v>290</v>
      </c>
      <c r="J4" t="s">
        <v>196</v>
      </c>
    </row>
    <row r="5" spans="1:10" x14ac:dyDescent="0.35">
      <c r="A5" t="s">
        <v>296</v>
      </c>
      <c r="B5" t="s">
        <v>297</v>
      </c>
      <c r="C5" t="s">
        <v>289</v>
      </c>
      <c r="D5" t="s">
        <v>292</v>
      </c>
      <c r="E5">
        <v>120</v>
      </c>
      <c r="F5">
        <v>2</v>
      </c>
      <c r="G5" t="s">
        <v>298</v>
      </c>
      <c r="H5" t="s">
        <v>251</v>
      </c>
      <c r="I5" t="s">
        <v>290</v>
      </c>
      <c r="J5" t="s">
        <v>196</v>
      </c>
    </row>
    <row r="6" spans="1:10" x14ac:dyDescent="0.35">
      <c r="A6" t="s">
        <v>299</v>
      </c>
      <c r="B6" t="s">
        <v>300</v>
      </c>
      <c r="C6" t="s">
        <v>289</v>
      </c>
      <c r="D6" t="s">
        <v>292</v>
      </c>
      <c r="E6">
        <v>140</v>
      </c>
      <c r="F6">
        <v>2</v>
      </c>
      <c r="G6" t="s">
        <v>301</v>
      </c>
      <c r="H6" t="s">
        <v>251</v>
      </c>
      <c r="I6" t="s">
        <v>290</v>
      </c>
      <c r="J6" t="s">
        <v>196</v>
      </c>
    </row>
    <row r="7" spans="1:10" x14ac:dyDescent="0.35">
      <c r="A7" t="s">
        <v>302</v>
      </c>
      <c r="B7" t="s">
        <v>303</v>
      </c>
      <c r="C7" t="s">
        <v>289</v>
      </c>
      <c r="D7" t="s">
        <v>292</v>
      </c>
      <c r="E7">
        <v>150</v>
      </c>
      <c r="F7">
        <v>2</v>
      </c>
      <c r="G7" t="s">
        <v>304</v>
      </c>
      <c r="H7" t="s">
        <v>251</v>
      </c>
      <c r="I7" t="s">
        <v>290</v>
      </c>
      <c r="J7" t="s">
        <v>196</v>
      </c>
    </row>
    <row r="8" spans="1:10" x14ac:dyDescent="0.35">
      <c r="A8" t="s">
        <v>305</v>
      </c>
      <c r="B8" t="s">
        <v>306</v>
      </c>
      <c r="C8" t="s">
        <v>289</v>
      </c>
      <c r="D8" t="s">
        <v>292</v>
      </c>
      <c r="E8">
        <v>170</v>
      </c>
      <c r="F8">
        <v>2</v>
      </c>
      <c r="G8" t="s">
        <v>307</v>
      </c>
      <c r="H8" t="s">
        <v>251</v>
      </c>
      <c r="I8" t="s">
        <v>290</v>
      </c>
      <c r="J8" t="s">
        <v>196</v>
      </c>
    </row>
    <row r="9" spans="1:10" x14ac:dyDescent="0.35">
      <c r="A9" t="s">
        <v>308</v>
      </c>
      <c r="B9" t="s">
        <v>309</v>
      </c>
      <c r="C9" t="s">
        <v>289</v>
      </c>
      <c r="D9" t="s">
        <v>310</v>
      </c>
      <c r="E9">
        <v>200</v>
      </c>
      <c r="F9">
        <v>1</v>
      </c>
      <c r="H9" t="s">
        <v>251</v>
      </c>
      <c r="I9" t="s">
        <v>287</v>
      </c>
      <c r="J9" t="s">
        <v>205</v>
      </c>
    </row>
    <row r="10" spans="1:10" x14ac:dyDescent="0.35">
      <c r="A10" t="s">
        <v>311</v>
      </c>
      <c r="B10" t="s">
        <v>312</v>
      </c>
      <c r="C10" t="s">
        <v>289</v>
      </c>
      <c r="D10" t="s">
        <v>310</v>
      </c>
      <c r="E10">
        <v>210</v>
      </c>
      <c r="F10">
        <v>2</v>
      </c>
      <c r="G10" t="s">
        <v>313</v>
      </c>
      <c r="H10" t="s">
        <v>251</v>
      </c>
      <c r="I10" t="s">
        <v>308</v>
      </c>
      <c r="J10" t="s">
        <v>205</v>
      </c>
    </row>
    <row r="11" spans="1:10" x14ac:dyDescent="0.35">
      <c r="A11" t="s">
        <v>314</v>
      </c>
      <c r="B11" t="s">
        <v>315</v>
      </c>
      <c r="C11" t="s">
        <v>289</v>
      </c>
      <c r="D11" t="s">
        <v>310</v>
      </c>
      <c r="E11">
        <v>220</v>
      </c>
      <c r="F11">
        <v>2</v>
      </c>
      <c r="G11" t="s">
        <v>316</v>
      </c>
      <c r="H11" t="s">
        <v>251</v>
      </c>
      <c r="I11" t="s">
        <v>308</v>
      </c>
      <c r="J11" t="s">
        <v>205</v>
      </c>
    </row>
    <row r="12" spans="1:10" x14ac:dyDescent="0.35">
      <c r="A12" t="s">
        <v>317</v>
      </c>
      <c r="B12" t="s">
        <v>318</v>
      </c>
      <c r="C12" t="s">
        <v>319</v>
      </c>
      <c r="D12" t="s">
        <v>194</v>
      </c>
      <c r="E12">
        <v>2000</v>
      </c>
      <c r="F12">
        <v>0</v>
      </c>
      <c r="H12" t="s">
        <v>195</v>
      </c>
      <c r="J12" t="s">
        <v>205</v>
      </c>
    </row>
    <row r="13" spans="1:10" x14ac:dyDescent="0.35">
      <c r="A13" t="s">
        <v>320</v>
      </c>
      <c r="B13" t="s">
        <v>321</v>
      </c>
      <c r="C13" t="s">
        <v>319</v>
      </c>
      <c r="D13" t="s">
        <v>292</v>
      </c>
      <c r="E13">
        <v>2100</v>
      </c>
      <c r="F13">
        <v>1</v>
      </c>
      <c r="G13" t="s">
        <v>322</v>
      </c>
      <c r="H13" t="s">
        <v>195</v>
      </c>
      <c r="I13" t="s">
        <v>317</v>
      </c>
      <c r="J13" t="s">
        <v>196</v>
      </c>
    </row>
    <row r="14" spans="1:10" x14ac:dyDescent="0.35">
      <c r="A14" t="s">
        <v>323</v>
      </c>
      <c r="B14" t="s">
        <v>324</v>
      </c>
      <c r="C14" t="s">
        <v>319</v>
      </c>
      <c r="D14" t="s">
        <v>292</v>
      </c>
      <c r="E14">
        <v>2110</v>
      </c>
      <c r="F14">
        <v>1</v>
      </c>
      <c r="G14" t="s">
        <v>325</v>
      </c>
      <c r="H14" t="s">
        <v>195</v>
      </c>
      <c r="I14" t="s">
        <v>317</v>
      </c>
      <c r="J14" t="s">
        <v>196</v>
      </c>
    </row>
    <row r="15" spans="1:10" x14ac:dyDescent="0.35">
      <c r="A15" t="s">
        <v>326</v>
      </c>
      <c r="B15" t="s">
        <v>327</v>
      </c>
      <c r="C15" t="s">
        <v>319</v>
      </c>
      <c r="D15" t="s">
        <v>292</v>
      </c>
      <c r="E15">
        <v>2120</v>
      </c>
      <c r="F15">
        <v>1</v>
      </c>
      <c r="G15" t="s">
        <v>328</v>
      </c>
      <c r="H15" t="s">
        <v>195</v>
      </c>
      <c r="I15" t="s">
        <v>317</v>
      </c>
      <c r="J15" t="s">
        <v>196</v>
      </c>
    </row>
    <row r="16" spans="1:10" x14ac:dyDescent="0.35">
      <c r="A16" t="s">
        <v>329</v>
      </c>
      <c r="B16" t="s">
        <v>330</v>
      </c>
      <c r="C16" t="s">
        <v>319</v>
      </c>
      <c r="D16" t="s">
        <v>292</v>
      </c>
      <c r="E16">
        <v>2130</v>
      </c>
      <c r="F16">
        <v>1</v>
      </c>
      <c r="G16" t="s">
        <v>331</v>
      </c>
      <c r="H16" t="s">
        <v>195</v>
      </c>
      <c r="I16" t="s">
        <v>317</v>
      </c>
      <c r="J16" t="s">
        <v>196</v>
      </c>
    </row>
    <row r="17" spans="1:10" x14ac:dyDescent="0.35">
      <c r="A17" t="s">
        <v>332</v>
      </c>
      <c r="B17" t="s">
        <v>333</v>
      </c>
      <c r="C17" t="s">
        <v>319</v>
      </c>
      <c r="D17" t="s">
        <v>292</v>
      </c>
      <c r="E17">
        <v>2140</v>
      </c>
      <c r="F17">
        <v>1</v>
      </c>
      <c r="G17" t="s">
        <v>334</v>
      </c>
      <c r="H17" t="s">
        <v>195</v>
      </c>
      <c r="I17" t="s">
        <v>317</v>
      </c>
      <c r="J17" t="s">
        <v>205</v>
      </c>
    </row>
    <row r="18" spans="1:10" x14ac:dyDescent="0.35">
      <c r="A18" t="s">
        <v>335</v>
      </c>
      <c r="B18" t="s">
        <v>336</v>
      </c>
      <c r="C18" t="s">
        <v>319</v>
      </c>
      <c r="D18" t="s">
        <v>292</v>
      </c>
      <c r="E18">
        <v>2150</v>
      </c>
      <c r="F18">
        <v>1</v>
      </c>
      <c r="G18" t="s">
        <v>337</v>
      </c>
      <c r="H18" t="s">
        <v>195</v>
      </c>
      <c r="I18" t="s">
        <v>317</v>
      </c>
      <c r="J18" t="s">
        <v>205</v>
      </c>
    </row>
    <row r="19" spans="1:10" x14ac:dyDescent="0.35">
      <c r="A19" t="s">
        <v>338</v>
      </c>
      <c r="B19" t="s">
        <v>339</v>
      </c>
      <c r="C19" t="s">
        <v>319</v>
      </c>
      <c r="D19" t="s">
        <v>292</v>
      </c>
      <c r="E19">
        <v>2160</v>
      </c>
      <c r="F19">
        <v>1</v>
      </c>
      <c r="G19" t="s">
        <v>340</v>
      </c>
      <c r="H19" t="s">
        <v>195</v>
      </c>
      <c r="I19" t="s">
        <v>317</v>
      </c>
      <c r="J19" t="s">
        <v>196</v>
      </c>
    </row>
    <row r="20" spans="1:10" x14ac:dyDescent="0.35">
      <c r="A20" t="s">
        <v>341</v>
      </c>
      <c r="B20" t="s">
        <v>342</v>
      </c>
      <c r="C20" t="s">
        <v>319</v>
      </c>
      <c r="D20" t="s">
        <v>292</v>
      </c>
      <c r="E20">
        <v>2170</v>
      </c>
      <c r="F20">
        <v>1</v>
      </c>
      <c r="G20" t="s">
        <v>343</v>
      </c>
      <c r="H20" t="s">
        <v>195</v>
      </c>
      <c r="I20" t="s">
        <v>317</v>
      </c>
      <c r="J20" t="s">
        <v>196</v>
      </c>
    </row>
    <row r="21" spans="1:10" x14ac:dyDescent="0.35">
      <c r="A21" t="s">
        <v>344</v>
      </c>
      <c r="B21" t="s">
        <v>22</v>
      </c>
      <c r="C21" t="s">
        <v>345</v>
      </c>
      <c r="D21" t="s">
        <v>345</v>
      </c>
      <c r="E21">
        <v>3100</v>
      </c>
      <c r="F21">
        <v>1</v>
      </c>
      <c r="G21" t="s">
        <v>263</v>
      </c>
      <c r="J21" t="s">
        <v>205</v>
      </c>
    </row>
    <row r="22" spans="1:10" x14ac:dyDescent="0.35">
      <c r="A22" t="s">
        <v>346</v>
      </c>
      <c r="B22" t="s">
        <v>347</v>
      </c>
      <c r="C22" t="s">
        <v>319</v>
      </c>
      <c r="D22" t="s">
        <v>348</v>
      </c>
      <c r="E22">
        <v>3110</v>
      </c>
      <c r="F22">
        <v>2</v>
      </c>
      <c r="G22" t="s">
        <v>349</v>
      </c>
      <c r="H22" t="s">
        <v>195</v>
      </c>
      <c r="J22" t="s">
        <v>205</v>
      </c>
    </row>
    <row r="23" spans="1:10" x14ac:dyDescent="0.35">
      <c r="A23" t="s">
        <v>350</v>
      </c>
      <c r="B23" t="s">
        <v>351</v>
      </c>
      <c r="C23" t="s">
        <v>319</v>
      </c>
      <c r="D23" t="s">
        <v>348</v>
      </c>
      <c r="E23">
        <v>3120</v>
      </c>
      <c r="F23">
        <v>2</v>
      </c>
      <c r="G23" t="s">
        <v>352</v>
      </c>
      <c r="H23" t="s">
        <v>195</v>
      </c>
      <c r="J23" t="s">
        <v>205</v>
      </c>
    </row>
    <row r="24" spans="1:10" x14ac:dyDescent="0.35">
      <c r="A24" t="s">
        <v>353</v>
      </c>
      <c r="B24" t="s">
        <v>354</v>
      </c>
      <c r="C24" t="s">
        <v>345</v>
      </c>
      <c r="D24" t="s">
        <v>345</v>
      </c>
      <c r="E24">
        <v>3200</v>
      </c>
      <c r="F24">
        <v>1</v>
      </c>
      <c r="G24" t="s">
        <v>263</v>
      </c>
      <c r="J24" t="s">
        <v>205</v>
      </c>
    </row>
    <row r="25" spans="1:10" x14ac:dyDescent="0.35">
      <c r="A25" t="s">
        <v>355</v>
      </c>
      <c r="B25" t="s">
        <v>356</v>
      </c>
      <c r="C25" t="s">
        <v>345</v>
      </c>
      <c r="D25" t="s">
        <v>357</v>
      </c>
      <c r="E25">
        <v>3300</v>
      </c>
      <c r="F25">
        <v>2</v>
      </c>
      <c r="G25" t="s">
        <v>263</v>
      </c>
      <c r="J25" t="s">
        <v>205</v>
      </c>
    </row>
    <row r="26" spans="1:10" x14ac:dyDescent="0.35">
      <c r="A26" t="s">
        <v>358</v>
      </c>
      <c r="B26" t="s">
        <v>359</v>
      </c>
      <c r="C26" t="s">
        <v>345</v>
      </c>
      <c r="D26" t="s">
        <v>357</v>
      </c>
      <c r="E26">
        <v>3310</v>
      </c>
      <c r="F26">
        <v>2</v>
      </c>
      <c r="G26" t="s">
        <v>263</v>
      </c>
      <c r="J26" t="s">
        <v>205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E0"/>
  </sheetPr>
  <dimension ref="A1:H26"/>
  <sheetViews>
    <sheetView workbookViewId="0">
      <pane ySplit="1" topLeftCell="A2" activePane="bottomLeft" state="frozen"/>
      <selection pane="bottomLeft" activeCell="A3" sqref="A3"/>
    </sheetView>
  </sheetViews>
  <sheetFormatPr defaultRowHeight="14.5" x14ac:dyDescent="0.35"/>
  <cols>
    <col min="1" max="1" width="15" customWidth="1"/>
    <col min="2" max="2" width="45" customWidth="1"/>
    <col min="3" max="4" width="15" customWidth="1"/>
    <col min="5" max="5" width="12" customWidth="1"/>
    <col min="6" max="6" width="18" customWidth="1"/>
    <col min="7" max="7" width="20" customWidth="1"/>
    <col min="8" max="8" width="15" customWidth="1"/>
    <col min="9" max="9" width="20" customWidth="1"/>
  </cols>
  <sheetData>
    <row r="1" spans="1:8" x14ac:dyDescent="0.35">
      <c r="A1" s="11" t="s">
        <v>360</v>
      </c>
      <c r="B1" s="11" t="s">
        <v>361</v>
      </c>
      <c r="C1" s="11" t="s">
        <v>362</v>
      </c>
      <c r="D1" s="11" t="s">
        <v>184</v>
      </c>
      <c r="E1" s="11" t="s">
        <v>185</v>
      </c>
      <c r="F1" s="11" t="s">
        <v>363</v>
      </c>
      <c r="G1" s="11" t="s">
        <v>364</v>
      </c>
      <c r="H1" s="11" t="s">
        <v>365</v>
      </c>
    </row>
    <row r="2" spans="1:8" x14ac:dyDescent="0.35">
      <c r="A2" t="s">
        <v>366</v>
      </c>
      <c r="B2" t="s">
        <v>367</v>
      </c>
      <c r="C2" t="s">
        <v>292</v>
      </c>
      <c r="D2">
        <v>1000</v>
      </c>
      <c r="E2">
        <v>0</v>
      </c>
      <c r="F2" t="s">
        <v>368</v>
      </c>
    </row>
    <row r="3" spans="1:8" x14ac:dyDescent="0.35">
      <c r="A3" t="s">
        <v>369</v>
      </c>
      <c r="B3" t="s">
        <v>22</v>
      </c>
      <c r="C3" t="s">
        <v>292</v>
      </c>
      <c r="D3">
        <v>1010</v>
      </c>
      <c r="E3">
        <v>1</v>
      </c>
      <c r="F3" t="s">
        <v>370</v>
      </c>
      <c r="G3" t="s">
        <v>344</v>
      </c>
      <c r="H3" t="s">
        <v>371</v>
      </c>
    </row>
    <row r="4" spans="1:8" x14ac:dyDescent="0.35">
      <c r="A4" t="s">
        <v>372</v>
      </c>
      <c r="B4" t="s">
        <v>373</v>
      </c>
      <c r="C4" t="s">
        <v>292</v>
      </c>
      <c r="D4">
        <v>1020</v>
      </c>
      <c r="E4">
        <v>1</v>
      </c>
      <c r="F4" t="s">
        <v>374</v>
      </c>
    </row>
    <row r="5" spans="1:8" x14ac:dyDescent="0.35">
      <c r="A5" t="s">
        <v>375</v>
      </c>
      <c r="B5" t="s">
        <v>336</v>
      </c>
      <c r="C5" t="s">
        <v>292</v>
      </c>
      <c r="D5">
        <v>1021</v>
      </c>
      <c r="E5">
        <v>2</v>
      </c>
      <c r="F5" t="s">
        <v>370</v>
      </c>
      <c r="G5" t="s">
        <v>335</v>
      </c>
      <c r="H5" t="s">
        <v>371</v>
      </c>
    </row>
    <row r="6" spans="1:8" x14ac:dyDescent="0.35">
      <c r="A6" t="s">
        <v>376</v>
      </c>
      <c r="B6" t="s">
        <v>333</v>
      </c>
      <c r="C6" t="s">
        <v>292</v>
      </c>
      <c r="D6">
        <v>1022</v>
      </c>
      <c r="E6">
        <v>2</v>
      </c>
      <c r="F6" t="s">
        <v>370</v>
      </c>
      <c r="G6" t="s">
        <v>332</v>
      </c>
      <c r="H6" t="s">
        <v>371</v>
      </c>
    </row>
    <row r="7" spans="1:8" x14ac:dyDescent="0.35">
      <c r="A7" t="s">
        <v>377</v>
      </c>
      <c r="B7" t="s">
        <v>312</v>
      </c>
      <c r="C7" t="s">
        <v>292</v>
      </c>
      <c r="D7">
        <v>1023</v>
      </c>
      <c r="E7">
        <v>2</v>
      </c>
      <c r="F7" t="s">
        <v>370</v>
      </c>
      <c r="G7" t="s">
        <v>311</v>
      </c>
      <c r="H7" t="s">
        <v>378</v>
      </c>
    </row>
    <row r="8" spans="1:8" x14ac:dyDescent="0.35">
      <c r="A8" t="s">
        <v>379</v>
      </c>
      <c r="B8" t="s">
        <v>380</v>
      </c>
      <c r="C8" t="s">
        <v>292</v>
      </c>
      <c r="D8">
        <v>1030</v>
      </c>
      <c r="E8">
        <v>1</v>
      </c>
      <c r="F8" t="s">
        <v>381</v>
      </c>
      <c r="G8" t="s">
        <v>382</v>
      </c>
      <c r="H8" t="s">
        <v>371</v>
      </c>
    </row>
    <row r="9" spans="1:8" x14ac:dyDescent="0.35">
      <c r="A9" t="s">
        <v>383</v>
      </c>
      <c r="B9" t="s">
        <v>384</v>
      </c>
      <c r="C9" t="s">
        <v>292</v>
      </c>
      <c r="D9">
        <v>1040</v>
      </c>
      <c r="E9">
        <v>1</v>
      </c>
      <c r="F9" t="s">
        <v>374</v>
      </c>
    </row>
    <row r="10" spans="1:8" x14ac:dyDescent="0.35">
      <c r="A10" t="s">
        <v>385</v>
      </c>
      <c r="B10" t="s">
        <v>386</v>
      </c>
      <c r="C10" t="s">
        <v>292</v>
      </c>
      <c r="D10">
        <v>1041</v>
      </c>
      <c r="E10">
        <v>2</v>
      </c>
      <c r="F10" t="s">
        <v>387</v>
      </c>
      <c r="G10" t="s">
        <v>241</v>
      </c>
      <c r="H10" t="s">
        <v>378</v>
      </c>
    </row>
    <row r="11" spans="1:8" x14ac:dyDescent="0.35">
      <c r="A11" t="s">
        <v>388</v>
      </c>
      <c r="B11" t="s">
        <v>389</v>
      </c>
      <c r="C11" t="s">
        <v>292</v>
      </c>
      <c r="D11">
        <v>1042</v>
      </c>
      <c r="E11">
        <v>2</v>
      </c>
      <c r="F11" t="s">
        <v>387</v>
      </c>
      <c r="G11" t="s">
        <v>282</v>
      </c>
      <c r="H11" t="s">
        <v>371</v>
      </c>
    </row>
    <row r="12" spans="1:8" x14ac:dyDescent="0.35">
      <c r="A12" t="s">
        <v>390</v>
      </c>
      <c r="B12" t="s">
        <v>391</v>
      </c>
      <c r="C12" t="s">
        <v>292</v>
      </c>
      <c r="D12">
        <v>1050</v>
      </c>
      <c r="E12">
        <v>1</v>
      </c>
      <c r="F12" t="s">
        <v>381</v>
      </c>
      <c r="G12" t="s">
        <v>382</v>
      </c>
      <c r="H12" t="s">
        <v>371</v>
      </c>
    </row>
    <row r="13" spans="1:8" x14ac:dyDescent="0.35">
      <c r="A13" t="s">
        <v>392</v>
      </c>
      <c r="B13" t="s">
        <v>393</v>
      </c>
      <c r="C13" t="s">
        <v>292</v>
      </c>
      <c r="D13">
        <v>1060</v>
      </c>
      <c r="E13">
        <v>1</v>
      </c>
      <c r="F13" t="s">
        <v>370</v>
      </c>
      <c r="G13" t="s">
        <v>346</v>
      </c>
      <c r="H13" t="s">
        <v>378</v>
      </c>
    </row>
    <row r="14" spans="1:8" x14ac:dyDescent="0.35">
      <c r="A14" t="s">
        <v>394</v>
      </c>
      <c r="B14" t="s">
        <v>395</v>
      </c>
      <c r="C14" t="s">
        <v>292</v>
      </c>
      <c r="D14">
        <v>1100</v>
      </c>
      <c r="E14">
        <v>1</v>
      </c>
      <c r="F14" t="s">
        <v>381</v>
      </c>
      <c r="G14" t="s">
        <v>396</v>
      </c>
      <c r="H14" t="s">
        <v>371</v>
      </c>
    </row>
    <row r="15" spans="1:8" x14ac:dyDescent="0.35">
      <c r="A15" t="s">
        <v>397</v>
      </c>
      <c r="B15" t="s">
        <v>398</v>
      </c>
      <c r="C15" t="s">
        <v>399</v>
      </c>
      <c r="D15">
        <v>2000</v>
      </c>
      <c r="E15">
        <v>0</v>
      </c>
      <c r="F15" t="s">
        <v>368</v>
      </c>
    </row>
    <row r="16" spans="1:8" x14ac:dyDescent="0.35">
      <c r="A16" t="s">
        <v>400</v>
      </c>
      <c r="B16" t="s">
        <v>401</v>
      </c>
      <c r="C16" t="s">
        <v>399</v>
      </c>
      <c r="D16">
        <v>2010</v>
      </c>
      <c r="E16">
        <v>1</v>
      </c>
      <c r="F16" t="s">
        <v>387</v>
      </c>
      <c r="G16" t="s">
        <v>202</v>
      </c>
      <c r="H16" t="s">
        <v>378</v>
      </c>
    </row>
    <row r="17" spans="1:8" x14ac:dyDescent="0.35">
      <c r="A17" t="s">
        <v>402</v>
      </c>
      <c r="B17" t="s">
        <v>403</v>
      </c>
      <c r="C17" t="s">
        <v>399</v>
      </c>
      <c r="D17">
        <v>2020</v>
      </c>
      <c r="E17">
        <v>1</v>
      </c>
      <c r="F17" t="s">
        <v>370</v>
      </c>
      <c r="G17" t="s">
        <v>311</v>
      </c>
      <c r="H17" t="s">
        <v>371</v>
      </c>
    </row>
    <row r="18" spans="1:8" x14ac:dyDescent="0.35">
      <c r="A18" t="s">
        <v>404</v>
      </c>
      <c r="B18" t="s">
        <v>405</v>
      </c>
      <c r="C18" t="s">
        <v>399</v>
      </c>
      <c r="D18">
        <v>2100</v>
      </c>
      <c r="E18">
        <v>1</v>
      </c>
      <c r="F18" t="s">
        <v>381</v>
      </c>
      <c r="G18" t="s">
        <v>396</v>
      </c>
      <c r="H18" t="s">
        <v>371</v>
      </c>
    </row>
    <row r="19" spans="1:8" x14ac:dyDescent="0.35">
      <c r="A19" t="s">
        <v>406</v>
      </c>
      <c r="B19" t="s">
        <v>407</v>
      </c>
      <c r="C19" t="s">
        <v>408</v>
      </c>
      <c r="D19">
        <v>3000</v>
      </c>
      <c r="E19">
        <v>0</v>
      </c>
      <c r="F19" t="s">
        <v>368</v>
      </c>
    </row>
    <row r="20" spans="1:8" x14ac:dyDescent="0.35">
      <c r="A20" t="s">
        <v>409</v>
      </c>
      <c r="B20" t="s">
        <v>410</v>
      </c>
      <c r="C20" t="s">
        <v>408</v>
      </c>
      <c r="D20">
        <v>3010</v>
      </c>
      <c r="E20">
        <v>1</v>
      </c>
      <c r="F20" t="s">
        <v>387</v>
      </c>
      <c r="G20" t="s">
        <v>270</v>
      </c>
      <c r="H20" t="s">
        <v>371</v>
      </c>
    </row>
    <row r="21" spans="1:8" x14ac:dyDescent="0.35">
      <c r="A21" t="s">
        <v>411</v>
      </c>
      <c r="B21" t="s">
        <v>412</v>
      </c>
      <c r="C21" t="s">
        <v>408</v>
      </c>
      <c r="D21">
        <v>3020</v>
      </c>
      <c r="E21">
        <v>1</v>
      </c>
      <c r="F21" t="s">
        <v>370</v>
      </c>
      <c r="G21" t="s">
        <v>332</v>
      </c>
      <c r="H21" t="s">
        <v>378</v>
      </c>
    </row>
    <row r="22" spans="1:8" x14ac:dyDescent="0.35">
      <c r="A22" t="s">
        <v>413</v>
      </c>
      <c r="B22" t="s">
        <v>414</v>
      </c>
      <c r="C22" t="s">
        <v>408</v>
      </c>
      <c r="D22">
        <v>3100</v>
      </c>
      <c r="E22">
        <v>1</v>
      </c>
      <c r="F22" t="s">
        <v>381</v>
      </c>
      <c r="G22" t="s">
        <v>396</v>
      </c>
      <c r="H22" t="s">
        <v>371</v>
      </c>
    </row>
    <row r="23" spans="1:8" x14ac:dyDescent="0.35">
      <c r="A23" t="s">
        <v>415</v>
      </c>
      <c r="B23" t="s">
        <v>416</v>
      </c>
      <c r="C23" t="s">
        <v>417</v>
      </c>
      <c r="D23">
        <v>4000</v>
      </c>
      <c r="E23">
        <v>0</v>
      </c>
      <c r="F23" t="s">
        <v>368</v>
      </c>
    </row>
    <row r="24" spans="1:8" x14ac:dyDescent="0.35">
      <c r="A24" t="s">
        <v>418</v>
      </c>
      <c r="B24" t="s">
        <v>419</v>
      </c>
      <c r="C24" t="s">
        <v>417</v>
      </c>
      <c r="D24">
        <v>4010</v>
      </c>
      <c r="E24">
        <v>1</v>
      </c>
      <c r="F24" t="s">
        <v>381</v>
      </c>
      <c r="G24" t="s">
        <v>420</v>
      </c>
      <c r="H24" t="s">
        <v>371</v>
      </c>
    </row>
    <row r="25" spans="1:8" x14ac:dyDescent="0.35">
      <c r="A25" t="s">
        <v>421</v>
      </c>
      <c r="B25" t="s">
        <v>422</v>
      </c>
      <c r="C25" t="s">
        <v>417</v>
      </c>
      <c r="D25">
        <v>4020</v>
      </c>
      <c r="E25">
        <v>1</v>
      </c>
      <c r="F25" t="s">
        <v>423</v>
      </c>
      <c r="G25" t="s">
        <v>245</v>
      </c>
      <c r="H25" t="s">
        <v>371</v>
      </c>
    </row>
    <row r="26" spans="1:8" x14ac:dyDescent="0.35">
      <c r="A26" t="s">
        <v>424</v>
      </c>
      <c r="B26" t="s">
        <v>425</v>
      </c>
      <c r="C26" t="s">
        <v>417</v>
      </c>
      <c r="D26">
        <v>4030</v>
      </c>
      <c r="E26">
        <v>1</v>
      </c>
      <c r="F26" t="s">
        <v>381</v>
      </c>
      <c r="G26" t="s">
        <v>426</v>
      </c>
      <c r="H26" t="s">
        <v>371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D580"/>
  </sheetPr>
  <dimension ref="A1:N200"/>
  <sheetViews>
    <sheetView showGridLines="0" zoomScaleNormal="100" workbookViewId="0">
      <pane xSplit="4" ySplit="4" topLeftCell="E32" activePane="bottomRight" state="frozen"/>
      <selection pane="topRight"/>
      <selection pane="bottomLeft"/>
      <selection pane="bottomRight" activeCell="C29" sqref="C29"/>
    </sheetView>
  </sheetViews>
  <sheetFormatPr defaultRowHeight="14.5" x14ac:dyDescent="0.35"/>
  <cols>
    <col min="1" max="1" width="15" customWidth="1"/>
    <col min="2" max="2" width="35" customWidth="1"/>
    <col min="3" max="3" width="12" customWidth="1"/>
    <col min="4" max="13" width="15" customWidth="1"/>
  </cols>
  <sheetData>
    <row r="1" spans="1:14" ht="18.5" x14ac:dyDescent="0.45">
      <c r="A1" s="36" t="s">
        <v>427</v>
      </c>
      <c r="B1" s="37"/>
      <c r="C1" s="37"/>
      <c r="D1" s="37"/>
      <c r="N1" s="12" t="s">
        <v>428</v>
      </c>
    </row>
    <row r="2" spans="1:14" x14ac:dyDescent="0.35">
      <c r="E2" s="38" t="s">
        <v>429</v>
      </c>
      <c r="F2" s="32"/>
      <c r="G2" s="32"/>
      <c r="H2" s="38" t="s">
        <v>430</v>
      </c>
      <c r="I2" s="32"/>
      <c r="J2" s="32"/>
      <c r="K2" s="38" t="s">
        <v>431</v>
      </c>
      <c r="L2" s="32"/>
      <c r="M2" s="32"/>
    </row>
    <row r="3" spans="1:14" x14ac:dyDescent="0.35">
      <c r="E3" s="38" t="s">
        <v>5</v>
      </c>
      <c r="F3" s="32"/>
      <c r="G3" s="32"/>
      <c r="H3" s="38" t="s">
        <v>5</v>
      </c>
      <c r="I3" s="32"/>
      <c r="J3" s="32"/>
      <c r="K3" s="38" t="s">
        <v>5</v>
      </c>
      <c r="L3" s="32"/>
      <c r="M3" s="32"/>
    </row>
    <row r="4" spans="1:14" x14ac:dyDescent="0.35">
      <c r="A4" s="12" t="s">
        <v>432</v>
      </c>
      <c r="B4" s="12" t="s">
        <v>433</v>
      </c>
      <c r="C4" s="12" t="s">
        <v>434</v>
      </c>
      <c r="D4" s="12" t="s">
        <v>187</v>
      </c>
      <c r="E4" s="12" t="s">
        <v>435</v>
      </c>
      <c r="F4" s="12" t="s">
        <v>436</v>
      </c>
      <c r="G4" s="12" t="s">
        <v>437</v>
      </c>
      <c r="H4" s="12" t="s">
        <v>435</v>
      </c>
      <c r="I4" s="12" t="s">
        <v>436</v>
      </c>
      <c r="J4" s="12" t="s">
        <v>437</v>
      </c>
      <c r="K4" s="12" t="s">
        <v>435</v>
      </c>
      <c r="L4" s="12" t="s">
        <v>436</v>
      </c>
      <c r="M4" s="12" t="s">
        <v>437</v>
      </c>
    </row>
    <row r="5" spans="1:14" x14ac:dyDescent="0.35">
      <c r="A5" t="s">
        <v>438</v>
      </c>
      <c r="B5" t="s">
        <v>439</v>
      </c>
      <c r="C5" t="s">
        <v>440</v>
      </c>
      <c r="D5" t="s">
        <v>195</v>
      </c>
      <c r="E5" s="13">
        <v>500</v>
      </c>
      <c r="F5" s="13">
        <v>0</v>
      </c>
      <c r="G5" s="13">
        <f t="shared" ref="G5:G23" si="0">IF($D5="Debit",E5-F5,F5-E5)</f>
        <v>500</v>
      </c>
      <c r="H5" s="13">
        <v>100</v>
      </c>
      <c r="I5" s="13">
        <v>0</v>
      </c>
      <c r="J5" s="13">
        <f t="shared" ref="J5:J23" si="1">IF($D5="Debit",H5-I5,I5-H5)</f>
        <v>100</v>
      </c>
      <c r="K5" s="13">
        <v>50</v>
      </c>
      <c r="L5" s="13">
        <v>0</v>
      </c>
      <c r="M5" s="13">
        <f t="shared" ref="M5:M23" si="2">IF($D5="Debit",K5-L5,L5-K5)</f>
        <v>50</v>
      </c>
      <c r="N5" t="str">
        <f t="shared" ref="N5:N24" si="3">LEFT(A5,3)</f>
        <v>100</v>
      </c>
    </row>
    <row r="6" spans="1:14" x14ac:dyDescent="0.35">
      <c r="A6" t="s">
        <v>441</v>
      </c>
      <c r="B6" t="s">
        <v>442</v>
      </c>
      <c r="C6" t="s">
        <v>440</v>
      </c>
      <c r="D6" t="s">
        <v>195</v>
      </c>
      <c r="E6" s="13">
        <v>11000</v>
      </c>
      <c r="F6" s="13">
        <v>1000</v>
      </c>
      <c r="G6" s="13">
        <f t="shared" si="0"/>
        <v>10000</v>
      </c>
      <c r="H6" s="13">
        <v>50000</v>
      </c>
      <c r="I6" s="13">
        <v>5000</v>
      </c>
      <c r="J6" s="13">
        <f t="shared" si="1"/>
        <v>45000</v>
      </c>
      <c r="K6" s="13">
        <v>25000</v>
      </c>
      <c r="L6" s="13">
        <v>2500</v>
      </c>
      <c r="M6" s="13">
        <f t="shared" si="2"/>
        <v>22500</v>
      </c>
      <c r="N6" t="str">
        <f t="shared" si="3"/>
        <v>110</v>
      </c>
    </row>
    <row r="7" spans="1:14" x14ac:dyDescent="0.35">
      <c r="A7" t="s">
        <v>443</v>
      </c>
      <c r="B7" t="s">
        <v>444</v>
      </c>
      <c r="C7" t="s">
        <v>440</v>
      </c>
      <c r="D7" t="s">
        <v>195</v>
      </c>
      <c r="E7" s="13">
        <v>2000</v>
      </c>
      <c r="F7" s="13">
        <v>0</v>
      </c>
      <c r="G7" s="13">
        <f t="shared" si="0"/>
        <v>2000</v>
      </c>
      <c r="H7" s="13">
        <v>30000</v>
      </c>
      <c r="I7" s="13">
        <v>0</v>
      </c>
      <c r="J7" s="13">
        <f t="shared" si="1"/>
        <v>30000</v>
      </c>
      <c r="K7" s="13">
        <v>10000</v>
      </c>
      <c r="L7" s="13">
        <v>0</v>
      </c>
      <c r="M7" s="13">
        <f t="shared" si="2"/>
        <v>10000</v>
      </c>
      <c r="N7" t="str">
        <f t="shared" si="3"/>
        <v>111</v>
      </c>
    </row>
    <row r="8" spans="1:14" x14ac:dyDescent="0.35">
      <c r="A8" t="s">
        <v>445</v>
      </c>
      <c r="B8" t="s">
        <v>446</v>
      </c>
      <c r="C8" t="s">
        <v>440</v>
      </c>
      <c r="D8" t="s">
        <v>195</v>
      </c>
      <c r="E8" s="13">
        <v>20000</v>
      </c>
      <c r="F8" s="13">
        <v>0</v>
      </c>
      <c r="G8" s="13">
        <f t="shared" si="0"/>
        <v>20000</v>
      </c>
      <c r="H8" s="13">
        <v>0</v>
      </c>
      <c r="I8" s="13">
        <v>0</v>
      </c>
      <c r="J8" s="13">
        <f t="shared" si="1"/>
        <v>0</v>
      </c>
      <c r="K8" s="13">
        <v>0</v>
      </c>
      <c r="L8" s="13">
        <v>0</v>
      </c>
      <c r="M8" s="13">
        <f t="shared" si="2"/>
        <v>0</v>
      </c>
      <c r="N8" t="str">
        <f t="shared" si="3"/>
        <v>122</v>
      </c>
    </row>
    <row r="9" spans="1:14" x14ac:dyDescent="0.35">
      <c r="A9" t="s">
        <v>447</v>
      </c>
      <c r="B9" t="s">
        <v>448</v>
      </c>
      <c r="C9" t="s">
        <v>440</v>
      </c>
      <c r="D9" t="s">
        <v>195</v>
      </c>
      <c r="E9" s="13">
        <v>5000</v>
      </c>
      <c r="F9" s="13">
        <v>0</v>
      </c>
      <c r="G9" s="13">
        <f t="shared" si="0"/>
        <v>5000</v>
      </c>
      <c r="H9" s="13">
        <v>8000</v>
      </c>
      <c r="I9" s="13">
        <v>0</v>
      </c>
      <c r="J9" s="13">
        <f t="shared" si="1"/>
        <v>8000</v>
      </c>
      <c r="K9" s="13">
        <v>3000</v>
      </c>
      <c r="L9" s="13">
        <v>0</v>
      </c>
      <c r="M9" s="13">
        <f t="shared" si="2"/>
        <v>3000</v>
      </c>
      <c r="N9" t="str">
        <f t="shared" si="3"/>
        <v>141</v>
      </c>
    </row>
    <row r="10" spans="1:14" x14ac:dyDescent="0.35">
      <c r="A10" t="s">
        <v>449</v>
      </c>
      <c r="B10" t="s">
        <v>450</v>
      </c>
      <c r="C10" t="s">
        <v>440</v>
      </c>
      <c r="D10" t="s">
        <v>195</v>
      </c>
      <c r="E10" s="13">
        <v>15000</v>
      </c>
      <c r="F10" s="13">
        <v>0</v>
      </c>
      <c r="G10" s="13">
        <f t="shared" si="0"/>
        <v>15000</v>
      </c>
      <c r="H10" s="13">
        <v>2000</v>
      </c>
      <c r="I10" s="13">
        <v>0</v>
      </c>
      <c r="J10" s="13">
        <f t="shared" si="1"/>
        <v>2000</v>
      </c>
      <c r="K10" s="13">
        <v>1000</v>
      </c>
      <c r="L10" s="13">
        <v>0</v>
      </c>
      <c r="M10" s="13">
        <f t="shared" si="2"/>
        <v>1000</v>
      </c>
      <c r="N10" t="str">
        <f t="shared" si="3"/>
        <v>142</v>
      </c>
    </row>
    <row r="11" spans="1:14" x14ac:dyDescent="0.35">
      <c r="A11">
        <v>200001</v>
      </c>
      <c r="B11" t="s">
        <v>254</v>
      </c>
      <c r="C11" t="s">
        <v>440</v>
      </c>
      <c r="D11" t="s">
        <v>251</v>
      </c>
      <c r="E11" s="13">
        <v>0</v>
      </c>
      <c r="F11" s="13">
        <v>50000</v>
      </c>
      <c r="G11" s="13">
        <f t="shared" si="0"/>
        <v>50000</v>
      </c>
      <c r="H11" s="13">
        <v>0</v>
      </c>
      <c r="I11" s="13">
        <v>30000</v>
      </c>
      <c r="J11" s="13">
        <f t="shared" si="1"/>
        <v>30000</v>
      </c>
      <c r="K11" s="13">
        <v>0</v>
      </c>
      <c r="L11" s="13">
        <v>15000</v>
      </c>
      <c r="M11" s="13">
        <f t="shared" si="2"/>
        <v>15000</v>
      </c>
      <c r="N11" t="str">
        <f t="shared" si="3"/>
        <v>200</v>
      </c>
    </row>
    <row r="12" spans="1:14" x14ac:dyDescent="0.35">
      <c r="A12" s="29">
        <v>501001</v>
      </c>
      <c r="B12" t="s">
        <v>451</v>
      </c>
      <c r="C12" t="s">
        <v>440</v>
      </c>
      <c r="D12" t="s">
        <v>251</v>
      </c>
      <c r="E12" s="13">
        <v>0</v>
      </c>
      <c r="F12" s="13">
        <v>5000</v>
      </c>
      <c r="G12" s="13">
        <f t="shared" si="0"/>
        <v>5000</v>
      </c>
      <c r="H12" s="13">
        <v>0</v>
      </c>
      <c r="I12" s="13">
        <v>2000</v>
      </c>
      <c r="J12" s="13">
        <f t="shared" si="1"/>
        <v>2000</v>
      </c>
      <c r="K12" s="13">
        <v>0</v>
      </c>
      <c r="L12" s="13">
        <v>1000</v>
      </c>
      <c r="M12" s="13">
        <f t="shared" si="2"/>
        <v>1000</v>
      </c>
      <c r="N12" t="str">
        <f t="shared" si="3"/>
        <v>501</v>
      </c>
    </row>
    <row r="13" spans="1:14" x14ac:dyDescent="0.35">
      <c r="A13">
        <v>300001</v>
      </c>
      <c r="B13" t="s">
        <v>452</v>
      </c>
      <c r="C13" t="s">
        <v>440</v>
      </c>
      <c r="D13" t="s">
        <v>251</v>
      </c>
      <c r="E13" s="13">
        <v>0</v>
      </c>
      <c r="F13" s="13">
        <v>0</v>
      </c>
      <c r="G13" s="13">
        <f t="shared" si="0"/>
        <v>0</v>
      </c>
      <c r="H13" s="13">
        <v>0</v>
      </c>
      <c r="I13" s="13">
        <v>30000</v>
      </c>
      <c r="J13" s="13">
        <f t="shared" si="1"/>
        <v>30000</v>
      </c>
      <c r="K13" s="13">
        <v>0</v>
      </c>
      <c r="L13" s="13">
        <v>15000</v>
      </c>
      <c r="M13" s="13">
        <f t="shared" si="2"/>
        <v>15000</v>
      </c>
      <c r="N13" t="str">
        <f t="shared" si="3"/>
        <v>300</v>
      </c>
    </row>
    <row r="14" spans="1:14" x14ac:dyDescent="0.35">
      <c r="A14">
        <v>302001</v>
      </c>
      <c r="B14" t="s">
        <v>453</v>
      </c>
      <c r="C14" t="s">
        <v>440</v>
      </c>
      <c r="D14" t="s">
        <v>251</v>
      </c>
      <c r="E14" s="13">
        <v>0</v>
      </c>
      <c r="F14" s="13">
        <v>0</v>
      </c>
      <c r="G14" s="13">
        <f t="shared" si="0"/>
        <v>0</v>
      </c>
      <c r="H14" s="13">
        <v>0</v>
      </c>
      <c r="I14" s="13">
        <v>20000</v>
      </c>
      <c r="J14" s="13">
        <f t="shared" si="1"/>
        <v>20000</v>
      </c>
      <c r="K14" s="13">
        <v>0</v>
      </c>
      <c r="L14" s="13">
        <v>0</v>
      </c>
      <c r="M14" s="13">
        <f t="shared" si="2"/>
        <v>0</v>
      </c>
      <c r="N14" t="str">
        <f t="shared" si="3"/>
        <v>302</v>
      </c>
    </row>
    <row r="15" spans="1:14" x14ac:dyDescent="0.35">
      <c r="A15">
        <v>402001</v>
      </c>
      <c r="B15" t="s">
        <v>454</v>
      </c>
      <c r="C15" t="s">
        <v>440</v>
      </c>
      <c r="D15" t="s">
        <v>251</v>
      </c>
      <c r="E15" s="13">
        <v>0</v>
      </c>
      <c r="F15" s="13">
        <v>2500</v>
      </c>
      <c r="G15" s="13">
        <f t="shared" si="0"/>
        <v>2500</v>
      </c>
      <c r="H15" s="13">
        <v>0</v>
      </c>
      <c r="I15" s="13">
        <v>5000</v>
      </c>
      <c r="J15" s="13">
        <f t="shared" si="1"/>
        <v>5000</v>
      </c>
      <c r="K15" s="13">
        <v>0</v>
      </c>
      <c r="L15" s="13">
        <v>2500</v>
      </c>
      <c r="M15" s="13">
        <f t="shared" si="2"/>
        <v>2500</v>
      </c>
      <c r="N15" t="str">
        <f t="shared" si="3"/>
        <v>402</v>
      </c>
    </row>
    <row r="16" spans="1:14" x14ac:dyDescent="0.35">
      <c r="A16">
        <v>500001</v>
      </c>
      <c r="B16" t="s">
        <v>455</v>
      </c>
      <c r="C16" t="s">
        <v>456</v>
      </c>
      <c r="D16" t="s">
        <v>251</v>
      </c>
      <c r="E16" s="13">
        <v>0</v>
      </c>
      <c r="F16" s="13">
        <v>0</v>
      </c>
      <c r="G16" s="13">
        <f t="shared" si="0"/>
        <v>0</v>
      </c>
      <c r="H16" s="13">
        <v>0</v>
      </c>
      <c r="I16" s="13">
        <v>10000</v>
      </c>
      <c r="J16" s="13">
        <f t="shared" si="1"/>
        <v>10000</v>
      </c>
      <c r="K16" s="13">
        <v>0</v>
      </c>
      <c r="L16" s="13">
        <v>5000</v>
      </c>
      <c r="M16" s="13">
        <f t="shared" si="2"/>
        <v>5000</v>
      </c>
      <c r="N16" t="str">
        <f t="shared" si="3"/>
        <v>500</v>
      </c>
    </row>
    <row r="17" spans="1:14" x14ac:dyDescent="0.35">
      <c r="A17">
        <v>510001</v>
      </c>
      <c r="B17" t="s">
        <v>300</v>
      </c>
      <c r="C17" t="s">
        <v>456</v>
      </c>
      <c r="D17" t="s">
        <v>251</v>
      </c>
      <c r="E17" s="13">
        <v>0</v>
      </c>
      <c r="F17" s="13">
        <v>30000</v>
      </c>
      <c r="G17" s="13">
        <f t="shared" si="0"/>
        <v>30000</v>
      </c>
      <c r="H17" s="13">
        <v>0</v>
      </c>
      <c r="I17" s="13">
        <v>0</v>
      </c>
      <c r="J17" s="13">
        <f t="shared" si="1"/>
        <v>0</v>
      </c>
      <c r="K17" s="13">
        <v>0</v>
      </c>
      <c r="L17" s="13">
        <v>0</v>
      </c>
      <c r="M17" s="13">
        <f t="shared" si="2"/>
        <v>0</v>
      </c>
      <c r="N17" t="str">
        <f t="shared" si="3"/>
        <v>510</v>
      </c>
    </row>
    <row r="18" spans="1:14" x14ac:dyDescent="0.35">
      <c r="A18">
        <v>630001</v>
      </c>
      <c r="B18" t="s">
        <v>457</v>
      </c>
      <c r="C18" t="s">
        <v>456</v>
      </c>
      <c r="D18" t="s">
        <v>195</v>
      </c>
      <c r="E18" s="13">
        <v>5000</v>
      </c>
      <c r="F18" s="13">
        <v>0</v>
      </c>
      <c r="G18" s="13">
        <f t="shared" si="0"/>
        <v>5000</v>
      </c>
      <c r="H18" s="13">
        <v>500</v>
      </c>
      <c r="I18" s="13">
        <v>0</v>
      </c>
      <c r="J18" s="13">
        <f t="shared" si="1"/>
        <v>500</v>
      </c>
      <c r="K18" s="13">
        <v>300</v>
      </c>
      <c r="L18" s="13">
        <v>0</v>
      </c>
      <c r="M18" s="13">
        <f t="shared" si="2"/>
        <v>300</v>
      </c>
      <c r="N18" t="str">
        <f t="shared" si="3"/>
        <v>630</v>
      </c>
    </row>
    <row r="19" spans="1:14" x14ac:dyDescent="0.35">
      <c r="A19">
        <v>640001</v>
      </c>
      <c r="B19" t="s">
        <v>333</v>
      </c>
      <c r="C19" t="s">
        <v>456</v>
      </c>
      <c r="D19" t="s">
        <v>195</v>
      </c>
      <c r="E19" s="13">
        <v>100</v>
      </c>
      <c r="F19" s="13">
        <v>0</v>
      </c>
      <c r="G19" s="13">
        <f t="shared" si="0"/>
        <v>100</v>
      </c>
      <c r="H19" s="13">
        <v>2000</v>
      </c>
      <c r="I19" s="13">
        <v>0</v>
      </c>
      <c r="J19" s="13">
        <f t="shared" si="1"/>
        <v>2000</v>
      </c>
      <c r="K19" s="13">
        <v>1000</v>
      </c>
      <c r="L19" s="13">
        <v>0</v>
      </c>
      <c r="M19" s="13">
        <f t="shared" si="2"/>
        <v>1000</v>
      </c>
      <c r="N19" t="str">
        <f t="shared" si="3"/>
        <v>640</v>
      </c>
    </row>
    <row r="20" spans="1:14" x14ac:dyDescent="0.35">
      <c r="A20">
        <v>650001</v>
      </c>
      <c r="B20" t="s">
        <v>458</v>
      </c>
      <c r="C20" t="s">
        <v>456</v>
      </c>
      <c r="D20" t="s">
        <v>195</v>
      </c>
      <c r="E20" s="13">
        <v>1000</v>
      </c>
      <c r="F20" s="13">
        <v>0</v>
      </c>
      <c r="G20" s="13">
        <f t="shared" si="0"/>
        <v>1000</v>
      </c>
      <c r="H20" s="13">
        <v>5000</v>
      </c>
      <c r="I20" s="13">
        <v>0</v>
      </c>
      <c r="J20" s="13">
        <f t="shared" si="1"/>
        <v>5000</v>
      </c>
      <c r="K20" s="13">
        <v>2500</v>
      </c>
      <c r="L20" s="13">
        <v>0</v>
      </c>
      <c r="M20" s="13">
        <f t="shared" si="2"/>
        <v>2500</v>
      </c>
      <c r="N20" t="str">
        <f t="shared" si="3"/>
        <v>650</v>
      </c>
    </row>
    <row r="21" spans="1:14" x14ac:dyDescent="0.35">
      <c r="A21">
        <v>610001</v>
      </c>
      <c r="B21" t="s">
        <v>459</v>
      </c>
      <c r="C21" t="s">
        <v>456</v>
      </c>
      <c r="D21" t="s">
        <v>195</v>
      </c>
      <c r="E21" s="13">
        <v>20000</v>
      </c>
      <c r="F21" s="13">
        <v>0</v>
      </c>
      <c r="G21" s="13">
        <f t="shared" si="0"/>
        <v>20000</v>
      </c>
      <c r="H21" s="13">
        <v>0</v>
      </c>
      <c r="I21" s="13">
        <v>0</v>
      </c>
      <c r="J21" s="13">
        <f t="shared" si="1"/>
        <v>0</v>
      </c>
      <c r="K21" s="13">
        <v>0</v>
      </c>
      <c r="L21" s="13">
        <v>0</v>
      </c>
      <c r="M21" s="13">
        <f t="shared" si="2"/>
        <v>0</v>
      </c>
      <c r="N21" t="str">
        <f t="shared" si="3"/>
        <v>610</v>
      </c>
    </row>
    <row r="22" spans="1:14" x14ac:dyDescent="0.35">
      <c r="A22" s="41">
        <v>399999</v>
      </c>
      <c r="B22" t="s">
        <v>687</v>
      </c>
      <c r="C22" t="s">
        <v>440</v>
      </c>
      <c r="D22" t="s">
        <v>195</v>
      </c>
      <c r="E22" s="13">
        <v>8900</v>
      </c>
      <c r="F22" s="13">
        <v>0</v>
      </c>
      <c r="G22" s="13">
        <f t="shared" si="0"/>
        <v>8900</v>
      </c>
      <c r="H22" s="13">
        <v>3400</v>
      </c>
      <c r="I22" s="13">
        <v>0</v>
      </c>
      <c r="J22" s="13">
        <f>IF($D22="Debit",H22-I22,I22-H22)</f>
        <v>3400</v>
      </c>
      <c r="K22" s="13">
        <v>0</v>
      </c>
      <c r="L22" s="13">
        <v>0</v>
      </c>
      <c r="M22" s="13">
        <f>IF($D22="Debit",K22-L22,L22-K22)</f>
        <v>0</v>
      </c>
      <c r="N22" t="str">
        <f t="shared" si="3"/>
        <v>399</v>
      </c>
    </row>
    <row r="23" spans="1:14" x14ac:dyDescent="0.35">
      <c r="A23">
        <v>660001</v>
      </c>
      <c r="B23" t="s">
        <v>339</v>
      </c>
      <c r="C23" t="s">
        <v>456</v>
      </c>
      <c r="D23" t="s">
        <v>195</v>
      </c>
      <c r="E23" s="13">
        <v>0</v>
      </c>
      <c r="F23" s="13">
        <v>0</v>
      </c>
      <c r="G23" s="13">
        <f t="shared" si="0"/>
        <v>0</v>
      </c>
      <c r="H23" s="13">
        <v>1000</v>
      </c>
      <c r="I23" s="13">
        <v>0</v>
      </c>
      <c r="J23" s="13">
        <f t="shared" si="1"/>
        <v>1000</v>
      </c>
      <c r="K23" s="13">
        <v>500</v>
      </c>
      <c r="L23" s="13">
        <v>0</v>
      </c>
      <c r="M23" s="13">
        <f t="shared" si="2"/>
        <v>500</v>
      </c>
      <c r="N23" t="str">
        <f t="shared" si="3"/>
        <v>660</v>
      </c>
    </row>
    <row r="24" spans="1:14" x14ac:dyDescent="0.35">
      <c r="A24" s="10" t="s">
        <v>460</v>
      </c>
      <c r="E24" s="14">
        <f t="shared" ref="E24:M24" si="4">SUM(E$5:E$23,E$25:E$200)</f>
        <v>88500</v>
      </c>
      <c r="F24" s="14">
        <f t="shared" si="4"/>
        <v>88500</v>
      </c>
      <c r="G24" s="14">
        <f t="shared" si="4"/>
        <v>175000</v>
      </c>
      <c r="H24" s="14">
        <f t="shared" si="4"/>
        <v>102000</v>
      </c>
      <c r="I24" s="14">
        <f t="shared" si="4"/>
        <v>102000</v>
      </c>
      <c r="J24" s="14">
        <f t="shared" si="4"/>
        <v>194000</v>
      </c>
      <c r="K24" s="14">
        <f t="shared" si="4"/>
        <v>43350</v>
      </c>
      <c r="L24" s="14">
        <f t="shared" si="4"/>
        <v>43350</v>
      </c>
      <c r="M24" s="14">
        <f t="shared" si="4"/>
        <v>81700</v>
      </c>
      <c r="N24" t="str">
        <f t="shared" si="3"/>
        <v>TOT</v>
      </c>
    </row>
    <row r="25" spans="1:14" x14ac:dyDescent="0.35">
      <c r="A25" s="29">
        <v>200001</v>
      </c>
      <c r="B25" t="s">
        <v>688</v>
      </c>
      <c r="C25" t="s">
        <v>440</v>
      </c>
      <c r="D25" t="s">
        <v>251</v>
      </c>
      <c r="G25">
        <f t="shared" ref="G25:G56" si="5">IF($D25="Debit",E25-F25,F25-E25)</f>
        <v>0</v>
      </c>
      <c r="J25">
        <f t="shared" ref="J25:J56" si="6">IF($D25="Debit",H25-I25,I25-H25)</f>
        <v>0</v>
      </c>
      <c r="K25" s="13">
        <v>0</v>
      </c>
      <c r="L25" s="13">
        <v>2350</v>
      </c>
      <c r="M25">
        <f t="shared" ref="M25:M56" si="7">IF($D25="Debit",K25-L25,L25-K25)</f>
        <v>2350</v>
      </c>
      <c r="N25" t="str">
        <f>LEFT(A25,3)</f>
        <v>200</v>
      </c>
    </row>
    <row r="26" spans="1:14" x14ac:dyDescent="0.35">
      <c r="G26">
        <f t="shared" si="5"/>
        <v>0</v>
      </c>
      <c r="J26">
        <f t="shared" si="6"/>
        <v>0</v>
      </c>
      <c r="M26">
        <f t="shared" si="7"/>
        <v>0</v>
      </c>
      <c r="N26" t="str">
        <f t="shared" ref="N26:N57" si="8">IF(A26&lt;&gt;"",LEFT(A26,3),"")</f>
        <v/>
      </c>
    </row>
    <row r="27" spans="1:14" x14ac:dyDescent="0.35">
      <c r="G27">
        <f t="shared" si="5"/>
        <v>0</v>
      </c>
      <c r="J27">
        <f t="shared" si="6"/>
        <v>0</v>
      </c>
      <c r="M27">
        <f t="shared" si="7"/>
        <v>0</v>
      </c>
      <c r="N27" t="str">
        <f t="shared" si="8"/>
        <v/>
      </c>
    </row>
    <row r="28" spans="1:14" x14ac:dyDescent="0.35">
      <c r="G28">
        <f t="shared" si="5"/>
        <v>0</v>
      </c>
      <c r="J28">
        <f t="shared" si="6"/>
        <v>0</v>
      </c>
      <c r="M28">
        <f t="shared" si="7"/>
        <v>0</v>
      </c>
      <c r="N28" t="str">
        <f t="shared" si="8"/>
        <v/>
      </c>
    </row>
    <row r="29" spans="1:14" x14ac:dyDescent="0.35">
      <c r="G29">
        <f t="shared" si="5"/>
        <v>0</v>
      </c>
      <c r="J29">
        <f t="shared" si="6"/>
        <v>0</v>
      </c>
      <c r="M29">
        <f t="shared" si="7"/>
        <v>0</v>
      </c>
      <c r="N29" t="str">
        <f t="shared" si="8"/>
        <v/>
      </c>
    </row>
    <row r="30" spans="1:14" x14ac:dyDescent="0.35">
      <c r="G30">
        <f t="shared" si="5"/>
        <v>0</v>
      </c>
      <c r="J30">
        <f t="shared" si="6"/>
        <v>0</v>
      </c>
      <c r="M30">
        <f t="shared" si="7"/>
        <v>0</v>
      </c>
      <c r="N30" t="str">
        <f t="shared" si="8"/>
        <v/>
      </c>
    </row>
    <row r="31" spans="1:14" x14ac:dyDescent="0.35">
      <c r="G31">
        <f t="shared" si="5"/>
        <v>0</v>
      </c>
      <c r="J31">
        <f t="shared" si="6"/>
        <v>0</v>
      </c>
      <c r="M31">
        <f t="shared" si="7"/>
        <v>0</v>
      </c>
      <c r="N31" t="str">
        <f t="shared" si="8"/>
        <v/>
      </c>
    </row>
    <row r="32" spans="1:14" x14ac:dyDescent="0.35">
      <c r="G32">
        <f t="shared" si="5"/>
        <v>0</v>
      </c>
      <c r="J32">
        <f t="shared" si="6"/>
        <v>0</v>
      </c>
      <c r="M32">
        <f t="shared" si="7"/>
        <v>0</v>
      </c>
      <c r="N32" t="str">
        <f t="shared" si="8"/>
        <v/>
      </c>
    </row>
    <row r="33" spans="7:14" x14ac:dyDescent="0.35">
      <c r="G33">
        <f t="shared" si="5"/>
        <v>0</v>
      </c>
      <c r="J33">
        <f t="shared" si="6"/>
        <v>0</v>
      </c>
      <c r="M33">
        <f t="shared" si="7"/>
        <v>0</v>
      </c>
      <c r="N33" t="str">
        <f t="shared" si="8"/>
        <v/>
      </c>
    </row>
    <row r="34" spans="7:14" x14ac:dyDescent="0.35">
      <c r="G34">
        <f t="shared" si="5"/>
        <v>0</v>
      </c>
      <c r="J34">
        <f t="shared" si="6"/>
        <v>0</v>
      </c>
      <c r="M34">
        <f t="shared" si="7"/>
        <v>0</v>
      </c>
      <c r="N34" t="str">
        <f t="shared" si="8"/>
        <v/>
      </c>
    </row>
    <row r="35" spans="7:14" x14ac:dyDescent="0.35">
      <c r="G35">
        <f t="shared" si="5"/>
        <v>0</v>
      </c>
      <c r="J35">
        <f t="shared" si="6"/>
        <v>0</v>
      </c>
      <c r="M35">
        <f t="shared" si="7"/>
        <v>0</v>
      </c>
      <c r="N35" t="str">
        <f t="shared" si="8"/>
        <v/>
      </c>
    </row>
    <row r="36" spans="7:14" x14ac:dyDescent="0.35">
      <c r="G36">
        <f t="shared" si="5"/>
        <v>0</v>
      </c>
      <c r="J36">
        <f t="shared" si="6"/>
        <v>0</v>
      </c>
      <c r="M36">
        <f t="shared" si="7"/>
        <v>0</v>
      </c>
      <c r="N36" t="str">
        <f t="shared" si="8"/>
        <v/>
      </c>
    </row>
    <row r="37" spans="7:14" x14ac:dyDescent="0.35">
      <c r="G37">
        <f t="shared" si="5"/>
        <v>0</v>
      </c>
      <c r="J37">
        <f t="shared" si="6"/>
        <v>0</v>
      </c>
      <c r="M37">
        <f t="shared" si="7"/>
        <v>0</v>
      </c>
      <c r="N37" t="str">
        <f t="shared" si="8"/>
        <v/>
      </c>
    </row>
    <row r="38" spans="7:14" x14ac:dyDescent="0.35">
      <c r="G38">
        <f t="shared" si="5"/>
        <v>0</v>
      </c>
      <c r="J38">
        <f t="shared" si="6"/>
        <v>0</v>
      </c>
      <c r="M38">
        <f t="shared" si="7"/>
        <v>0</v>
      </c>
      <c r="N38" t="str">
        <f t="shared" si="8"/>
        <v/>
      </c>
    </row>
    <row r="39" spans="7:14" x14ac:dyDescent="0.35">
      <c r="G39">
        <f t="shared" si="5"/>
        <v>0</v>
      </c>
      <c r="J39">
        <f t="shared" si="6"/>
        <v>0</v>
      </c>
      <c r="M39">
        <f t="shared" si="7"/>
        <v>0</v>
      </c>
      <c r="N39" t="str">
        <f t="shared" si="8"/>
        <v/>
      </c>
    </row>
    <row r="40" spans="7:14" x14ac:dyDescent="0.35">
      <c r="G40">
        <f t="shared" si="5"/>
        <v>0</v>
      </c>
      <c r="J40">
        <f t="shared" si="6"/>
        <v>0</v>
      </c>
      <c r="M40">
        <f t="shared" si="7"/>
        <v>0</v>
      </c>
      <c r="N40" t="str">
        <f t="shared" si="8"/>
        <v/>
      </c>
    </row>
    <row r="41" spans="7:14" x14ac:dyDescent="0.35">
      <c r="G41">
        <f t="shared" si="5"/>
        <v>0</v>
      </c>
      <c r="J41">
        <f t="shared" si="6"/>
        <v>0</v>
      </c>
      <c r="M41">
        <f t="shared" si="7"/>
        <v>0</v>
      </c>
      <c r="N41" t="str">
        <f t="shared" si="8"/>
        <v/>
      </c>
    </row>
    <row r="42" spans="7:14" x14ac:dyDescent="0.35">
      <c r="G42">
        <f t="shared" si="5"/>
        <v>0</v>
      </c>
      <c r="J42">
        <f t="shared" si="6"/>
        <v>0</v>
      </c>
      <c r="M42">
        <f t="shared" si="7"/>
        <v>0</v>
      </c>
      <c r="N42" t="str">
        <f t="shared" si="8"/>
        <v/>
      </c>
    </row>
    <row r="43" spans="7:14" x14ac:dyDescent="0.35">
      <c r="G43">
        <f t="shared" si="5"/>
        <v>0</v>
      </c>
      <c r="J43">
        <f t="shared" si="6"/>
        <v>0</v>
      </c>
      <c r="M43">
        <f t="shared" si="7"/>
        <v>0</v>
      </c>
      <c r="N43" t="str">
        <f t="shared" si="8"/>
        <v/>
      </c>
    </row>
    <row r="44" spans="7:14" x14ac:dyDescent="0.35">
      <c r="G44">
        <f t="shared" si="5"/>
        <v>0</v>
      </c>
      <c r="J44">
        <f t="shared" si="6"/>
        <v>0</v>
      </c>
      <c r="M44">
        <f t="shared" si="7"/>
        <v>0</v>
      </c>
      <c r="N44" t="str">
        <f t="shared" si="8"/>
        <v/>
      </c>
    </row>
    <row r="45" spans="7:14" x14ac:dyDescent="0.35">
      <c r="G45">
        <f t="shared" si="5"/>
        <v>0</v>
      </c>
      <c r="J45">
        <f t="shared" si="6"/>
        <v>0</v>
      </c>
      <c r="M45">
        <f t="shared" si="7"/>
        <v>0</v>
      </c>
      <c r="N45" t="str">
        <f t="shared" si="8"/>
        <v/>
      </c>
    </row>
    <row r="46" spans="7:14" x14ac:dyDescent="0.35">
      <c r="G46">
        <f t="shared" si="5"/>
        <v>0</v>
      </c>
      <c r="J46">
        <f t="shared" si="6"/>
        <v>0</v>
      </c>
      <c r="M46">
        <f t="shared" si="7"/>
        <v>0</v>
      </c>
      <c r="N46" t="str">
        <f t="shared" si="8"/>
        <v/>
      </c>
    </row>
    <row r="47" spans="7:14" x14ac:dyDescent="0.35">
      <c r="G47">
        <f t="shared" si="5"/>
        <v>0</v>
      </c>
      <c r="J47">
        <f t="shared" si="6"/>
        <v>0</v>
      </c>
      <c r="M47">
        <f t="shared" si="7"/>
        <v>0</v>
      </c>
      <c r="N47" t="str">
        <f t="shared" si="8"/>
        <v/>
      </c>
    </row>
    <row r="48" spans="7:14" x14ac:dyDescent="0.35">
      <c r="G48">
        <f t="shared" si="5"/>
        <v>0</v>
      </c>
      <c r="J48">
        <f t="shared" si="6"/>
        <v>0</v>
      </c>
      <c r="M48">
        <f t="shared" si="7"/>
        <v>0</v>
      </c>
      <c r="N48" t="str">
        <f t="shared" si="8"/>
        <v/>
      </c>
    </row>
    <row r="49" spans="7:14" x14ac:dyDescent="0.35">
      <c r="G49">
        <f t="shared" si="5"/>
        <v>0</v>
      </c>
      <c r="J49">
        <f t="shared" si="6"/>
        <v>0</v>
      </c>
      <c r="M49">
        <f t="shared" si="7"/>
        <v>0</v>
      </c>
      <c r="N49" t="str">
        <f t="shared" si="8"/>
        <v/>
      </c>
    </row>
    <row r="50" spans="7:14" x14ac:dyDescent="0.35">
      <c r="G50">
        <f t="shared" si="5"/>
        <v>0</v>
      </c>
      <c r="J50">
        <f t="shared" si="6"/>
        <v>0</v>
      </c>
      <c r="M50">
        <f t="shared" si="7"/>
        <v>0</v>
      </c>
      <c r="N50" t="str">
        <f t="shared" si="8"/>
        <v/>
      </c>
    </row>
    <row r="51" spans="7:14" x14ac:dyDescent="0.35">
      <c r="G51">
        <f t="shared" si="5"/>
        <v>0</v>
      </c>
      <c r="J51">
        <f t="shared" si="6"/>
        <v>0</v>
      </c>
      <c r="M51">
        <f t="shared" si="7"/>
        <v>0</v>
      </c>
      <c r="N51" t="str">
        <f t="shared" si="8"/>
        <v/>
      </c>
    </row>
    <row r="52" spans="7:14" x14ac:dyDescent="0.35">
      <c r="G52">
        <f t="shared" si="5"/>
        <v>0</v>
      </c>
      <c r="J52">
        <f t="shared" si="6"/>
        <v>0</v>
      </c>
      <c r="M52">
        <f t="shared" si="7"/>
        <v>0</v>
      </c>
      <c r="N52" t="str">
        <f t="shared" si="8"/>
        <v/>
      </c>
    </row>
    <row r="53" spans="7:14" x14ac:dyDescent="0.35">
      <c r="G53">
        <f t="shared" si="5"/>
        <v>0</v>
      </c>
      <c r="J53">
        <f t="shared" si="6"/>
        <v>0</v>
      </c>
      <c r="M53">
        <f t="shared" si="7"/>
        <v>0</v>
      </c>
      <c r="N53" t="str">
        <f t="shared" si="8"/>
        <v/>
      </c>
    </row>
    <row r="54" spans="7:14" x14ac:dyDescent="0.35">
      <c r="G54">
        <f t="shared" si="5"/>
        <v>0</v>
      </c>
      <c r="J54">
        <f t="shared" si="6"/>
        <v>0</v>
      </c>
      <c r="M54">
        <f t="shared" si="7"/>
        <v>0</v>
      </c>
      <c r="N54" t="str">
        <f t="shared" si="8"/>
        <v/>
      </c>
    </row>
    <row r="55" spans="7:14" x14ac:dyDescent="0.35">
      <c r="G55">
        <f t="shared" si="5"/>
        <v>0</v>
      </c>
      <c r="J55">
        <f t="shared" si="6"/>
        <v>0</v>
      </c>
      <c r="M55">
        <f t="shared" si="7"/>
        <v>0</v>
      </c>
      <c r="N55" t="str">
        <f t="shared" si="8"/>
        <v/>
      </c>
    </row>
    <row r="56" spans="7:14" x14ac:dyDescent="0.35">
      <c r="G56">
        <f t="shared" si="5"/>
        <v>0</v>
      </c>
      <c r="J56">
        <f t="shared" si="6"/>
        <v>0</v>
      </c>
      <c r="M56">
        <f t="shared" si="7"/>
        <v>0</v>
      </c>
      <c r="N56" t="str">
        <f t="shared" si="8"/>
        <v/>
      </c>
    </row>
    <row r="57" spans="7:14" x14ac:dyDescent="0.35">
      <c r="G57">
        <f t="shared" ref="G57:G88" si="9">IF($D57="Debit",E57-F57,F57-E57)</f>
        <v>0</v>
      </c>
      <c r="J57">
        <f t="shared" ref="J57:J88" si="10">IF($D57="Debit",H57-I57,I57-H57)</f>
        <v>0</v>
      </c>
      <c r="M57">
        <f t="shared" ref="M57:M88" si="11">IF($D57="Debit",K57-L57,L57-K57)</f>
        <v>0</v>
      </c>
      <c r="N57" t="str">
        <f t="shared" si="8"/>
        <v/>
      </c>
    </row>
    <row r="58" spans="7:14" x14ac:dyDescent="0.35">
      <c r="G58">
        <f t="shared" si="9"/>
        <v>0</v>
      </c>
      <c r="J58">
        <f t="shared" si="10"/>
        <v>0</v>
      </c>
      <c r="M58">
        <f t="shared" si="11"/>
        <v>0</v>
      </c>
      <c r="N58" t="str">
        <f t="shared" ref="N58:N89" si="12">IF(A58&lt;&gt;"",LEFT(A58,3),"")</f>
        <v/>
      </c>
    </row>
    <row r="59" spans="7:14" x14ac:dyDescent="0.35">
      <c r="G59">
        <f t="shared" si="9"/>
        <v>0</v>
      </c>
      <c r="J59">
        <f t="shared" si="10"/>
        <v>0</v>
      </c>
      <c r="M59">
        <f t="shared" si="11"/>
        <v>0</v>
      </c>
      <c r="N59" t="str">
        <f t="shared" si="12"/>
        <v/>
      </c>
    </row>
    <row r="60" spans="7:14" x14ac:dyDescent="0.35">
      <c r="G60">
        <f t="shared" si="9"/>
        <v>0</v>
      </c>
      <c r="J60">
        <f t="shared" si="10"/>
        <v>0</v>
      </c>
      <c r="M60">
        <f t="shared" si="11"/>
        <v>0</v>
      </c>
      <c r="N60" t="str">
        <f t="shared" si="12"/>
        <v/>
      </c>
    </row>
    <row r="61" spans="7:14" x14ac:dyDescent="0.35">
      <c r="G61">
        <f t="shared" si="9"/>
        <v>0</v>
      </c>
      <c r="J61">
        <f t="shared" si="10"/>
        <v>0</v>
      </c>
      <c r="M61">
        <f t="shared" si="11"/>
        <v>0</v>
      </c>
      <c r="N61" t="str">
        <f t="shared" si="12"/>
        <v/>
      </c>
    </row>
    <row r="62" spans="7:14" x14ac:dyDescent="0.35">
      <c r="G62">
        <f t="shared" si="9"/>
        <v>0</v>
      </c>
      <c r="J62">
        <f t="shared" si="10"/>
        <v>0</v>
      </c>
      <c r="M62">
        <f t="shared" si="11"/>
        <v>0</v>
      </c>
      <c r="N62" t="str">
        <f t="shared" si="12"/>
        <v/>
      </c>
    </row>
    <row r="63" spans="7:14" x14ac:dyDescent="0.35">
      <c r="G63">
        <f t="shared" si="9"/>
        <v>0</v>
      </c>
      <c r="J63">
        <f t="shared" si="10"/>
        <v>0</v>
      </c>
      <c r="M63">
        <f t="shared" si="11"/>
        <v>0</v>
      </c>
      <c r="N63" t="str">
        <f t="shared" si="12"/>
        <v/>
      </c>
    </row>
    <row r="64" spans="7:14" x14ac:dyDescent="0.35">
      <c r="G64">
        <f t="shared" si="9"/>
        <v>0</v>
      </c>
      <c r="J64">
        <f t="shared" si="10"/>
        <v>0</v>
      </c>
      <c r="M64">
        <f t="shared" si="11"/>
        <v>0</v>
      </c>
      <c r="N64" t="str">
        <f t="shared" si="12"/>
        <v/>
      </c>
    </row>
    <row r="65" spans="7:14" x14ac:dyDescent="0.35">
      <c r="G65">
        <f t="shared" si="9"/>
        <v>0</v>
      </c>
      <c r="J65">
        <f t="shared" si="10"/>
        <v>0</v>
      </c>
      <c r="M65">
        <f t="shared" si="11"/>
        <v>0</v>
      </c>
      <c r="N65" t="str">
        <f t="shared" si="12"/>
        <v/>
      </c>
    </row>
    <row r="66" spans="7:14" x14ac:dyDescent="0.35">
      <c r="G66">
        <f t="shared" si="9"/>
        <v>0</v>
      </c>
      <c r="J66">
        <f t="shared" si="10"/>
        <v>0</v>
      </c>
      <c r="M66">
        <f t="shared" si="11"/>
        <v>0</v>
      </c>
      <c r="N66" t="str">
        <f t="shared" si="12"/>
        <v/>
      </c>
    </row>
    <row r="67" spans="7:14" x14ac:dyDescent="0.35">
      <c r="G67">
        <f t="shared" si="9"/>
        <v>0</v>
      </c>
      <c r="J67">
        <f t="shared" si="10"/>
        <v>0</v>
      </c>
      <c r="M67">
        <f t="shared" si="11"/>
        <v>0</v>
      </c>
      <c r="N67" t="str">
        <f t="shared" si="12"/>
        <v/>
      </c>
    </row>
    <row r="68" spans="7:14" x14ac:dyDescent="0.35">
      <c r="G68">
        <f t="shared" si="9"/>
        <v>0</v>
      </c>
      <c r="J68">
        <f t="shared" si="10"/>
        <v>0</v>
      </c>
      <c r="M68">
        <f t="shared" si="11"/>
        <v>0</v>
      </c>
      <c r="N68" t="str">
        <f t="shared" si="12"/>
        <v/>
      </c>
    </row>
    <row r="69" spans="7:14" x14ac:dyDescent="0.35">
      <c r="G69">
        <f t="shared" si="9"/>
        <v>0</v>
      </c>
      <c r="J69">
        <f t="shared" si="10"/>
        <v>0</v>
      </c>
      <c r="M69">
        <f t="shared" si="11"/>
        <v>0</v>
      </c>
      <c r="N69" t="str">
        <f t="shared" si="12"/>
        <v/>
      </c>
    </row>
    <row r="70" spans="7:14" x14ac:dyDescent="0.35">
      <c r="G70">
        <f t="shared" si="9"/>
        <v>0</v>
      </c>
      <c r="J70">
        <f t="shared" si="10"/>
        <v>0</v>
      </c>
      <c r="M70">
        <f t="shared" si="11"/>
        <v>0</v>
      </c>
      <c r="N70" t="str">
        <f t="shared" si="12"/>
        <v/>
      </c>
    </row>
    <row r="71" spans="7:14" x14ac:dyDescent="0.35">
      <c r="G71">
        <f t="shared" si="9"/>
        <v>0</v>
      </c>
      <c r="J71">
        <f t="shared" si="10"/>
        <v>0</v>
      </c>
      <c r="M71">
        <f t="shared" si="11"/>
        <v>0</v>
      </c>
      <c r="N71" t="str">
        <f t="shared" si="12"/>
        <v/>
      </c>
    </row>
    <row r="72" spans="7:14" x14ac:dyDescent="0.35">
      <c r="G72">
        <f t="shared" si="9"/>
        <v>0</v>
      </c>
      <c r="J72">
        <f t="shared" si="10"/>
        <v>0</v>
      </c>
      <c r="M72">
        <f t="shared" si="11"/>
        <v>0</v>
      </c>
      <c r="N72" t="str">
        <f t="shared" si="12"/>
        <v/>
      </c>
    </row>
    <row r="73" spans="7:14" x14ac:dyDescent="0.35">
      <c r="G73">
        <f t="shared" si="9"/>
        <v>0</v>
      </c>
      <c r="J73">
        <f t="shared" si="10"/>
        <v>0</v>
      </c>
      <c r="M73">
        <f t="shared" si="11"/>
        <v>0</v>
      </c>
      <c r="N73" t="str">
        <f t="shared" si="12"/>
        <v/>
      </c>
    </row>
    <row r="74" spans="7:14" x14ac:dyDescent="0.35">
      <c r="G74">
        <f t="shared" si="9"/>
        <v>0</v>
      </c>
      <c r="J74">
        <f t="shared" si="10"/>
        <v>0</v>
      </c>
      <c r="M74">
        <f t="shared" si="11"/>
        <v>0</v>
      </c>
      <c r="N74" t="str">
        <f t="shared" si="12"/>
        <v/>
      </c>
    </row>
    <row r="75" spans="7:14" x14ac:dyDescent="0.35">
      <c r="G75">
        <f t="shared" si="9"/>
        <v>0</v>
      </c>
      <c r="J75">
        <f t="shared" si="10"/>
        <v>0</v>
      </c>
      <c r="M75">
        <f t="shared" si="11"/>
        <v>0</v>
      </c>
      <c r="N75" t="str">
        <f t="shared" si="12"/>
        <v/>
      </c>
    </row>
    <row r="76" spans="7:14" x14ac:dyDescent="0.35">
      <c r="G76">
        <f t="shared" si="9"/>
        <v>0</v>
      </c>
      <c r="J76">
        <f t="shared" si="10"/>
        <v>0</v>
      </c>
      <c r="M76">
        <f t="shared" si="11"/>
        <v>0</v>
      </c>
      <c r="N76" t="str">
        <f t="shared" si="12"/>
        <v/>
      </c>
    </row>
    <row r="77" spans="7:14" x14ac:dyDescent="0.35">
      <c r="G77">
        <f t="shared" si="9"/>
        <v>0</v>
      </c>
      <c r="J77">
        <f t="shared" si="10"/>
        <v>0</v>
      </c>
      <c r="M77">
        <f t="shared" si="11"/>
        <v>0</v>
      </c>
      <c r="N77" t="str">
        <f t="shared" si="12"/>
        <v/>
      </c>
    </row>
    <row r="78" spans="7:14" x14ac:dyDescent="0.35">
      <c r="G78">
        <f t="shared" si="9"/>
        <v>0</v>
      </c>
      <c r="J78">
        <f t="shared" si="10"/>
        <v>0</v>
      </c>
      <c r="M78">
        <f t="shared" si="11"/>
        <v>0</v>
      </c>
      <c r="N78" t="str">
        <f t="shared" si="12"/>
        <v/>
      </c>
    </row>
    <row r="79" spans="7:14" x14ac:dyDescent="0.35">
      <c r="G79">
        <f t="shared" si="9"/>
        <v>0</v>
      </c>
      <c r="J79">
        <f t="shared" si="10"/>
        <v>0</v>
      </c>
      <c r="M79">
        <f t="shared" si="11"/>
        <v>0</v>
      </c>
      <c r="N79" t="str">
        <f t="shared" si="12"/>
        <v/>
      </c>
    </row>
    <row r="80" spans="7:14" x14ac:dyDescent="0.35">
      <c r="G80">
        <f t="shared" si="9"/>
        <v>0</v>
      </c>
      <c r="J80">
        <f t="shared" si="10"/>
        <v>0</v>
      </c>
      <c r="M80">
        <f t="shared" si="11"/>
        <v>0</v>
      </c>
      <c r="N80" t="str">
        <f t="shared" si="12"/>
        <v/>
      </c>
    </row>
    <row r="81" spans="7:14" x14ac:dyDescent="0.35">
      <c r="G81">
        <f t="shared" si="9"/>
        <v>0</v>
      </c>
      <c r="J81">
        <f t="shared" si="10"/>
        <v>0</v>
      </c>
      <c r="M81">
        <f t="shared" si="11"/>
        <v>0</v>
      </c>
      <c r="N81" t="str">
        <f t="shared" si="12"/>
        <v/>
      </c>
    </row>
    <row r="82" spans="7:14" x14ac:dyDescent="0.35">
      <c r="G82">
        <f t="shared" si="9"/>
        <v>0</v>
      </c>
      <c r="J82">
        <f t="shared" si="10"/>
        <v>0</v>
      </c>
      <c r="M82">
        <f t="shared" si="11"/>
        <v>0</v>
      </c>
      <c r="N82" t="str">
        <f t="shared" si="12"/>
        <v/>
      </c>
    </row>
    <row r="83" spans="7:14" x14ac:dyDescent="0.35">
      <c r="G83">
        <f t="shared" si="9"/>
        <v>0</v>
      </c>
      <c r="J83">
        <f t="shared" si="10"/>
        <v>0</v>
      </c>
      <c r="M83">
        <f t="shared" si="11"/>
        <v>0</v>
      </c>
      <c r="N83" t="str">
        <f t="shared" si="12"/>
        <v/>
      </c>
    </row>
    <row r="84" spans="7:14" x14ac:dyDescent="0.35">
      <c r="G84">
        <f t="shared" si="9"/>
        <v>0</v>
      </c>
      <c r="J84">
        <f t="shared" si="10"/>
        <v>0</v>
      </c>
      <c r="M84">
        <f t="shared" si="11"/>
        <v>0</v>
      </c>
      <c r="N84" t="str">
        <f t="shared" si="12"/>
        <v/>
      </c>
    </row>
    <row r="85" spans="7:14" x14ac:dyDescent="0.35">
      <c r="G85">
        <f t="shared" si="9"/>
        <v>0</v>
      </c>
      <c r="J85">
        <f t="shared" si="10"/>
        <v>0</v>
      </c>
      <c r="M85">
        <f t="shared" si="11"/>
        <v>0</v>
      </c>
      <c r="N85" t="str">
        <f t="shared" si="12"/>
        <v/>
      </c>
    </row>
    <row r="86" spans="7:14" x14ac:dyDescent="0.35">
      <c r="G86">
        <f t="shared" si="9"/>
        <v>0</v>
      </c>
      <c r="J86">
        <f t="shared" si="10"/>
        <v>0</v>
      </c>
      <c r="M86">
        <f t="shared" si="11"/>
        <v>0</v>
      </c>
      <c r="N86" t="str">
        <f t="shared" si="12"/>
        <v/>
      </c>
    </row>
    <row r="87" spans="7:14" x14ac:dyDescent="0.35">
      <c r="G87">
        <f t="shared" si="9"/>
        <v>0</v>
      </c>
      <c r="J87">
        <f t="shared" si="10"/>
        <v>0</v>
      </c>
      <c r="M87">
        <f t="shared" si="11"/>
        <v>0</v>
      </c>
      <c r="N87" t="str">
        <f t="shared" si="12"/>
        <v/>
      </c>
    </row>
    <row r="88" spans="7:14" x14ac:dyDescent="0.35">
      <c r="G88">
        <f t="shared" si="9"/>
        <v>0</v>
      </c>
      <c r="J88">
        <f t="shared" si="10"/>
        <v>0</v>
      </c>
      <c r="M88">
        <f t="shared" si="11"/>
        <v>0</v>
      </c>
      <c r="N88" t="str">
        <f t="shared" si="12"/>
        <v/>
      </c>
    </row>
    <row r="89" spans="7:14" x14ac:dyDescent="0.35">
      <c r="G89">
        <f t="shared" ref="G89:G120" si="13">IF($D89="Debit",E89-F89,F89-E89)</f>
        <v>0</v>
      </c>
      <c r="J89">
        <f t="shared" ref="J89:J120" si="14">IF($D89="Debit",H89-I89,I89-H89)</f>
        <v>0</v>
      </c>
      <c r="M89">
        <f t="shared" ref="M89:M120" si="15">IF($D89="Debit",K89-L89,L89-K89)</f>
        <v>0</v>
      </c>
      <c r="N89" t="str">
        <f t="shared" si="12"/>
        <v/>
      </c>
    </row>
    <row r="90" spans="7:14" x14ac:dyDescent="0.35">
      <c r="G90">
        <f t="shared" si="13"/>
        <v>0</v>
      </c>
      <c r="J90">
        <f t="shared" si="14"/>
        <v>0</v>
      </c>
      <c r="M90">
        <f t="shared" si="15"/>
        <v>0</v>
      </c>
      <c r="N90" t="str">
        <f t="shared" ref="N90:N121" si="16">IF(A90&lt;&gt;"",LEFT(A90,3),"")</f>
        <v/>
      </c>
    </row>
    <row r="91" spans="7:14" x14ac:dyDescent="0.35">
      <c r="G91">
        <f t="shared" si="13"/>
        <v>0</v>
      </c>
      <c r="J91">
        <f t="shared" si="14"/>
        <v>0</v>
      </c>
      <c r="M91">
        <f t="shared" si="15"/>
        <v>0</v>
      </c>
      <c r="N91" t="str">
        <f t="shared" si="16"/>
        <v/>
      </c>
    </row>
    <row r="92" spans="7:14" x14ac:dyDescent="0.35">
      <c r="G92">
        <f t="shared" si="13"/>
        <v>0</v>
      </c>
      <c r="J92">
        <f t="shared" si="14"/>
        <v>0</v>
      </c>
      <c r="M92">
        <f t="shared" si="15"/>
        <v>0</v>
      </c>
      <c r="N92" t="str">
        <f t="shared" si="16"/>
        <v/>
      </c>
    </row>
    <row r="93" spans="7:14" x14ac:dyDescent="0.35">
      <c r="G93">
        <f t="shared" si="13"/>
        <v>0</v>
      </c>
      <c r="J93">
        <f t="shared" si="14"/>
        <v>0</v>
      </c>
      <c r="M93">
        <f t="shared" si="15"/>
        <v>0</v>
      </c>
      <c r="N93" t="str">
        <f t="shared" si="16"/>
        <v/>
      </c>
    </row>
    <row r="94" spans="7:14" x14ac:dyDescent="0.35">
      <c r="G94">
        <f t="shared" si="13"/>
        <v>0</v>
      </c>
      <c r="J94">
        <f t="shared" si="14"/>
        <v>0</v>
      </c>
      <c r="M94">
        <f t="shared" si="15"/>
        <v>0</v>
      </c>
      <c r="N94" t="str">
        <f t="shared" si="16"/>
        <v/>
      </c>
    </row>
    <row r="95" spans="7:14" x14ac:dyDescent="0.35">
      <c r="G95">
        <f t="shared" si="13"/>
        <v>0</v>
      </c>
      <c r="J95">
        <f t="shared" si="14"/>
        <v>0</v>
      </c>
      <c r="M95">
        <f t="shared" si="15"/>
        <v>0</v>
      </c>
      <c r="N95" t="str">
        <f t="shared" si="16"/>
        <v/>
      </c>
    </row>
    <row r="96" spans="7:14" x14ac:dyDescent="0.35">
      <c r="G96">
        <f t="shared" si="13"/>
        <v>0</v>
      </c>
      <c r="J96">
        <f t="shared" si="14"/>
        <v>0</v>
      </c>
      <c r="M96">
        <f t="shared" si="15"/>
        <v>0</v>
      </c>
      <c r="N96" t="str">
        <f t="shared" si="16"/>
        <v/>
      </c>
    </row>
    <row r="97" spans="7:14" x14ac:dyDescent="0.35">
      <c r="G97">
        <f t="shared" si="13"/>
        <v>0</v>
      </c>
      <c r="J97">
        <f t="shared" si="14"/>
        <v>0</v>
      </c>
      <c r="M97">
        <f t="shared" si="15"/>
        <v>0</v>
      </c>
      <c r="N97" t="str">
        <f t="shared" si="16"/>
        <v/>
      </c>
    </row>
    <row r="98" spans="7:14" x14ac:dyDescent="0.35">
      <c r="G98">
        <f t="shared" si="13"/>
        <v>0</v>
      </c>
      <c r="J98">
        <f t="shared" si="14"/>
        <v>0</v>
      </c>
      <c r="M98">
        <f t="shared" si="15"/>
        <v>0</v>
      </c>
      <c r="N98" t="str">
        <f t="shared" si="16"/>
        <v/>
      </c>
    </row>
    <row r="99" spans="7:14" x14ac:dyDescent="0.35">
      <c r="G99">
        <f t="shared" si="13"/>
        <v>0</v>
      </c>
      <c r="J99">
        <f t="shared" si="14"/>
        <v>0</v>
      </c>
      <c r="M99">
        <f t="shared" si="15"/>
        <v>0</v>
      </c>
      <c r="N99" t="str">
        <f t="shared" si="16"/>
        <v/>
      </c>
    </row>
    <row r="100" spans="7:14" x14ac:dyDescent="0.35">
      <c r="G100">
        <f t="shared" si="13"/>
        <v>0</v>
      </c>
      <c r="J100">
        <f t="shared" si="14"/>
        <v>0</v>
      </c>
      <c r="M100">
        <f t="shared" si="15"/>
        <v>0</v>
      </c>
      <c r="N100" t="str">
        <f t="shared" si="16"/>
        <v/>
      </c>
    </row>
    <row r="101" spans="7:14" x14ac:dyDescent="0.35">
      <c r="G101">
        <f t="shared" si="13"/>
        <v>0</v>
      </c>
      <c r="J101">
        <f t="shared" si="14"/>
        <v>0</v>
      </c>
      <c r="M101">
        <f t="shared" si="15"/>
        <v>0</v>
      </c>
      <c r="N101" t="str">
        <f t="shared" si="16"/>
        <v/>
      </c>
    </row>
    <row r="102" spans="7:14" x14ac:dyDescent="0.35">
      <c r="G102">
        <f t="shared" si="13"/>
        <v>0</v>
      </c>
      <c r="J102">
        <f t="shared" si="14"/>
        <v>0</v>
      </c>
      <c r="M102">
        <f t="shared" si="15"/>
        <v>0</v>
      </c>
      <c r="N102" t="str">
        <f t="shared" si="16"/>
        <v/>
      </c>
    </row>
    <row r="103" spans="7:14" x14ac:dyDescent="0.35">
      <c r="G103">
        <f t="shared" si="13"/>
        <v>0</v>
      </c>
      <c r="J103">
        <f t="shared" si="14"/>
        <v>0</v>
      </c>
      <c r="M103">
        <f t="shared" si="15"/>
        <v>0</v>
      </c>
      <c r="N103" t="str">
        <f t="shared" si="16"/>
        <v/>
      </c>
    </row>
    <row r="104" spans="7:14" x14ac:dyDescent="0.35">
      <c r="G104">
        <f t="shared" si="13"/>
        <v>0</v>
      </c>
      <c r="J104">
        <f t="shared" si="14"/>
        <v>0</v>
      </c>
      <c r="M104">
        <f t="shared" si="15"/>
        <v>0</v>
      </c>
      <c r="N104" t="str">
        <f t="shared" si="16"/>
        <v/>
      </c>
    </row>
    <row r="105" spans="7:14" x14ac:dyDescent="0.35">
      <c r="G105">
        <f t="shared" si="13"/>
        <v>0</v>
      </c>
      <c r="J105">
        <f t="shared" si="14"/>
        <v>0</v>
      </c>
      <c r="M105">
        <f t="shared" si="15"/>
        <v>0</v>
      </c>
      <c r="N105" t="str">
        <f t="shared" si="16"/>
        <v/>
      </c>
    </row>
    <row r="106" spans="7:14" x14ac:dyDescent="0.35">
      <c r="G106">
        <f t="shared" si="13"/>
        <v>0</v>
      </c>
      <c r="J106">
        <f t="shared" si="14"/>
        <v>0</v>
      </c>
      <c r="M106">
        <f t="shared" si="15"/>
        <v>0</v>
      </c>
      <c r="N106" t="str">
        <f t="shared" si="16"/>
        <v/>
      </c>
    </row>
    <row r="107" spans="7:14" x14ac:dyDescent="0.35">
      <c r="G107">
        <f t="shared" si="13"/>
        <v>0</v>
      </c>
      <c r="J107">
        <f t="shared" si="14"/>
        <v>0</v>
      </c>
      <c r="M107">
        <f t="shared" si="15"/>
        <v>0</v>
      </c>
      <c r="N107" t="str">
        <f t="shared" si="16"/>
        <v/>
      </c>
    </row>
    <row r="108" spans="7:14" x14ac:dyDescent="0.35">
      <c r="G108">
        <f t="shared" si="13"/>
        <v>0</v>
      </c>
      <c r="J108">
        <f t="shared" si="14"/>
        <v>0</v>
      </c>
      <c r="M108">
        <f t="shared" si="15"/>
        <v>0</v>
      </c>
      <c r="N108" t="str">
        <f t="shared" si="16"/>
        <v/>
      </c>
    </row>
    <row r="109" spans="7:14" x14ac:dyDescent="0.35">
      <c r="G109">
        <f t="shared" si="13"/>
        <v>0</v>
      </c>
      <c r="J109">
        <f t="shared" si="14"/>
        <v>0</v>
      </c>
      <c r="M109">
        <f t="shared" si="15"/>
        <v>0</v>
      </c>
      <c r="N109" t="str">
        <f t="shared" si="16"/>
        <v/>
      </c>
    </row>
    <row r="110" spans="7:14" x14ac:dyDescent="0.35">
      <c r="G110">
        <f t="shared" si="13"/>
        <v>0</v>
      </c>
      <c r="J110">
        <f t="shared" si="14"/>
        <v>0</v>
      </c>
      <c r="M110">
        <f t="shared" si="15"/>
        <v>0</v>
      </c>
      <c r="N110" t="str">
        <f t="shared" si="16"/>
        <v/>
      </c>
    </row>
    <row r="111" spans="7:14" x14ac:dyDescent="0.35">
      <c r="G111">
        <f t="shared" si="13"/>
        <v>0</v>
      </c>
      <c r="J111">
        <f t="shared" si="14"/>
        <v>0</v>
      </c>
      <c r="M111">
        <f t="shared" si="15"/>
        <v>0</v>
      </c>
      <c r="N111" t="str">
        <f t="shared" si="16"/>
        <v/>
      </c>
    </row>
    <row r="112" spans="7:14" x14ac:dyDescent="0.35">
      <c r="G112">
        <f t="shared" si="13"/>
        <v>0</v>
      </c>
      <c r="J112">
        <f t="shared" si="14"/>
        <v>0</v>
      </c>
      <c r="M112">
        <f t="shared" si="15"/>
        <v>0</v>
      </c>
      <c r="N112" t="str">
        <f t="shared" si="16"/>
        <v/>
      </c>
    </row>
    <row r="113" spans="7:14" x14ac:dyDescent="0.35">
      <c r="G113">
        <f t="shared" si="13"/>
        <v>0</v>
      </c>
      <c r="J113">
        <f t="shared" si="14"/>
        <v>0</v>
      </c>
      <c r="M113">
        <f t="shared" si="15"/>
        <v>0</v>
      </c>
      <c r="N113" t="str">
        <f t="shared" si="16"/>
        <v/>
      </c>
    </row>
    <row r="114" spans="7:14" x14ac:dyDescent="0.35">
      <c r="G114">
        <f t="shared" si="13"/>
        <v>0</v>
      </c>
      <c r="J114">
        <f t="shared" si="14"/>
        <v>0</v>
      </c>
      <c r="M114">
        <f t="shared" si="15"/>
        <v>0</v>
      </c>
      <c r="N114" t="str">
        <f t="shared" si="16"/>
        <v/>
      </c>
    </row>
    <row r="115" spans="7:14" x14ac:dyDescent="0.35">
      <c r="G115">
        <f t="shared" si="13"/>
        <v>0</v>
      </c>
      <c r="J115">
        <f t="shared" si="14"/>
        <v>0</v>
      </c>
      <c r="M115">
        <f t="shared" si="15"/>
        <v>0</v>
      </c>
      <c r="N115" t="str">
        <f t="shared" si="16"/>
        <v/>
      </c>
    </row>
    <row r="116" spans="7:14" x14ac:dyDescent="0.35">
      <c r="G116">
        <f t="shared" si="13"/>
        <v>0</v>
      </c>
      <c r="J116">
        <f t="shared" si="14"/>
        <v>0</v>
      </c>
      <c r="M116">
        <f t="shared" si="15"/>
        <v>0</v>
      </c>
      <c r="N116" t="str">
        <f t="shared" si="16"/>
        <v/>
      </c>
    </row>
    <row r="117" spans="7:14" x14ac:dyDescent="0.35">
      <c r="G117">
        <f t="shared" si="13"/>
        <v>0</v>
      </c>
      <c r="J117">
        <f t="shared" si="14"/>
        <v>0</v>
      </c>
      <c r="M117">
        <f t="shared" si="15"/>
        <v>0</v>
      </c>
      <c r="N117" t="str">
        <f t="shared" si="16"/>
        <v/>
      </c>
    </row>
    <row r="118" spans="7:14" x14ac:dyDescent="0.35">
      <c r="G118">
        <f t="shared" si="13"/>
        <v>0</v>
      </c>
      <c r="J118">
        <f t="shared" si="14"/>
        <v>0</v>
      </c>
      <c r="M118">
        <f t="shared" si="15"/>
        <v>0</v>
      </c>
      <c r="N118" t="str">
        <f t="shared" si="16"/>
        <v/>
      </c>
    </row>
    <row r="119" spans="7:14" x14ac:dyDescent="0.35">
      <c r="G119">
        <f t="shared" si="13"/>
        <v>0</v>
      </c>
      <c r="J119">
        <f t="shared" si="14"/>
        <v>0</v>
      </c>
      <c r="M119">
        <f t="shared" si="15"/>
        <v>0</v>
      </c>
      <c r="N119" t="str">
        <f t="shared" si="16"/>
        <v/>
      </c>
    </row>
    <row r="120" spans="7:14" x14ac:dyDescent="0.35">
      <c r="G120">
        <f t="shared" si="13"/>
        <v>0</v>
      </c>
      <c r="J120">
        <f t="shared" si="14"/>
        <v>0</v>
      </c>
      <c r="M120">
        <f t="shared" si="15"/>
        <v>0</v>
      </c>
      <c r="N120" t="str">
        <f t="shared" si="16"/>
        <v/>
      </c>
    </row>
    <row r="121" spans="7:14" x14ac:dyDescent="0.35">
      <c r="G121">
        <f t="shared" ref="G121:G152" si="17">IF($D121="Debit",E121-F121,F121-E121)</f>
        <v>0</v>
      </c>
      <c r="J121">
        <f t="shared" ref="J121:J152" si="18">IF($D121="Debit",H121-I121,I121-H121)</f>
        <v>0</v>
      </c>
      <c r="M121">
        <f t="shared" ref="M121:M152" si="19">IF($D121="Debit",K121-L121,L121-K121)</f>
        <v>0</v>
      </c>
      <c r="N121" t="str">
        <f t="shared" si="16"/>
        <v/>
      </c>
    </row>
    <row r="122" spans="7:14" x14ac:dyDescent="0.35">
      <c r="G122">
        <f t="shared" si="17"/>
        <v>0</v>
      </c>
      <c r="J122">
        <f t="shared" si="18"/>
        <v>0</v>
      </c>
      <c r="M122">
        <f t="shared" si="19"/>
        <v>0</v>
      </c>
      <c r="N122" t="str">
        <f t="shared" ref="N122:N153" si="20">IF(A122&lt;&gt;"",LEFT(A122,3),"")</f>
        <v/>
      </c>
    </row>
    <row r="123" spans="7:14" x14ac:dyDescent="0.35">
      <c r="G123">
        <f t="shared" si="17"/>
        <v>0</v>
      </c>
      <c r="J123">
        <f t="shared" si="18"/>
        <v>0</v>
      </c>
      <c r="M123">
        <f t="shared" si="19"/>
        <v>0</v>
      </c>
      <c r="N123" t="str">
        <f t="shared" si="20"/>
        <v/>
      </c>
    </row>
    <row r="124" spans="7:14" x14ac:dyDescent="0.35">
      <c r="G124">
        <f t="shared" si="17"/>
        <v>0</v>
      </c>
      <c r="J124">
        <f t="shared" si="18"/>
        <v>0</v>
      </c>
      <c r="M124">
        <f t="shared" si="19"/>
        <v>0</v>
      </c>
      <c r="N124" t="str">
        <f t="shared" si="20"/>
        <v/>
      </c>
    </row>
    <row r="125" spans="7:14" x14ac:dyDescent="0.35">
      <c r="G125">
        <f t="shared" si="17"/>
        <v>0</v>
      </c>
      <c r="J125">
        <f t="shared" si="18"/>
        <v>0</v>
      </c>
      <c r="M125">
        <f t="shared" si="19"/>
        <v>0</v>
      </c>
      <c r="N125" t="str">
        <f t="shared" si="20"/>
        <v/>
      </c>
    </row>
    <row r="126" spans="7:14" x14ac:dyDescent="0.35">
      <c r="G126">
        <f t="shared" si="17"/>
        <v>0</v>
      </c>
      <c r="J126">
        <f t="shared" si="18"/>
        <v>0</v>
      </c>
      <c r="M126">
        <f t="shared" si="19"/>
        <v>0</v>
      </c>
      <c r="N126" t="str">
        <f t="shared" si="20"/>
        <v/>
      </c>
    </row>
    <row r="127" spans="7:14" x14ac:dyDescent="0.35">
      <c r="G127">
        <f t="shared" si="17"/>
        <v>0</v>
      </c>
      <c r="J127">
        <f t="shared" si="18"/>
        <v>0</v>
      </c>
      <c r="M127">
        <f t="shared" si="19"/>
        <v>0</v>
      </c>
      <c r="N127" t="str">
        <f t="shared" si="20"/>
        <v/>
      </c>
    </row>
    <row r="128" spans="7:14" x14ac:dyDescent="0.35">
      <c r="G128">
        <f t="shared" si="17"/>
        <v>0</v>
      </c>
      <c r="J128">
        <f t="shared" si="18"/>
        <v>0</v>
      </c>
      <c r="M128">
        <f t="shared" si="19"/>
        <v>0</v>
      </c>
      <c r="N128" t="str">
        <f t="shared" si="20"/>
        <v/>
      </c>
    </row>
    <row r="129" spans="7:14" x14ac:dyDescent="0.35">
      <c r="G129">
        <f t="shared" si="17"/>
        <v>0</v>
      </c>
      <c r="J129">
        <f t="shared" si="18"/>
        <v>0</v>
      </c>
      <c r="M129">
        <f t="shared" si="19"/>
        <v>0</v>
      </c>
      <c r="N129" t="str">
        <f t="shared" si="20"/>
        <v/>
      </c>
    </row>
    <row r="130" spans="7:14" x14ac:dyDescent="0.35">
      <c r="G130">
        <f t="shared" si="17"/>
        <v>0</v>
      </c>
      <c r="J130">
        <f t="shared" si="18"/>
        <v>0</v>
      </c>
      <c r="M130">
        <f t="shared" si="19"/>
        <v>0</v>
      </c>
      <c r="N130" t="str">
        <f t="shared" si="20"/>
        <v/>
      </c>
    </row>
    <row r="131" spans="7:14" x14ac:dyDescent="0.35">
      <c r="G131">
        <f t="shared" si="17"/>
        <v>0</v>
      </c>
      <c r="J131">
        <f t="shared" si="18"/>
        <v>0</v>
      </c>
      <c r="M131">
        <f t="shared" si="19"/>
        <v>0</v>
      </c>
      <c r="N131" t="str">
        <f t="shared" si="20"/>
        <v/>
      </c>
    </row>
    <row r="132" spans="7:14" x14ac:dyDescent="0.35">
      <c r="G132">
        <f t="shared" si="17"/>
        <v>0</v>
      </c>
      <c r="J132">
        <f t="shared" si="18"/>
        <v>0</v>
      </c>
      <c r="M132">
        <f t="shared" si="19"/>
        <v>0</v>
      </c>
      <c r="N132" t="str">
        <f t="shared" si="20"/>
        <v/>
      </c>
    </row>
    <row r="133" spans="7:14" x14ac:dyDescent="0.35">
      <c r="G133">
        <f t="shared" si="17"/>
        <v>0</v>
      </c>
      <c r="J133">
        <f t="shared" si="18"/>
        <v>0</v>
      </c>
      <c r="M133">
        <f t="shared" si="19"/>
        <v>0</v>
      </c>
      <c r="N133" t="str">
        <f t="shared" si="20"/>
        <v/>
      </c>
    </row>
    <row r="134" spans="7:14" x14ac:dyDescent="0.35">
      <c r="G134">
        <f t="shared" si="17"/>
        <v>0</v>
      </c>
      <c r="J134">
        <f t="shared" si="18"/>
        <v>0</v>
      </c>
      <c r="M134">
        <f t="shared" si="19"/>
        <v>0</v>
      </c>
      <c r="N134" t="str">
        <f t="shared" si="20"/>
        <v/>
      </c>
    </row>
    <row r="135" spans="7:14" x14ac:dyDescent="0.35">
      <c r="G135">
        <f t="shared" si="17"/>
        <v>0</v>
      </c>
      <c r="J135">
        <f t="shared" si="18"/>
        <v>0</v>
      </c>
      <c r="M135">
        <f t="shared" si="19"/>
        <v>0</v>
      </c>
      <c r="N135" t="str">
        <f t="shared" si="20"/>
        <v/>
      </c>
    </row>
    <row r="136" spans="7:14" x14ac:dyDescent="0.35">
      <c r="G136">
        <f t="shared" si="17"/>
        <v>0</v>
      </c>
      <c r="J136">
        <f t="shared" si="18"/>
        <v>0</v>
      </c>
      <c r="M136">
        <f t="shared" si="19"/>
        <v>0</v>
      </c>
      <c r="N136" t="str">
        <f t="shared" si="20"/>
        <v/>
      </c>
    </row>
    <row r="137" spans="7:14" x14ac:dyDescent="0.35">
      <c r="G137">
        <f t="shared" si="17"/>
        <v>0</v>
      </c>
      <c r="J137">
        <f t="shared" si="18"/>
        <v>0</v>
      </c>
      <c r="M137">
        <f t="shared" si="19"/>
        <v>0</v>
      </c>
      <c r="N137" t="str">
        <f t="shared" si="20"/>
        <v/>
      </c>
    </row>
    <row r="138" spans="7:14" x14ac:dyDescent="0.35">
      <c r="G138">
        <f t="shared" si="17"/>
        <v>0</v>
      </c>
      <c r="J138">
        <f t="shared" si="18"/>
        <v>0</v>
      </c>
      <c r="M138">
        <f t="shared" si="19"/>
        <v>0</v>
      </c>
      <c r="N138" t="str">
        <f t="shared" si="20"/>
        <v/>
      </c>
    </row>
    <row r="139" spans="7:14" x14ac:dyDescent="0.35">
      <c r="G139">
        <f t="shared" si="17"/>
        <v>0</v>
      </c>
      <c r="J139">
        <f t="shared" si="18"/>
        <v>0</v>
      </c>
      <c r="M139">
        <f t="shared" si="19"/>
        <v>0</v>
      </c>
      <c r="N139" t="str">
        <f t="shared" si="20"/>
        <v/>
      </c>
    </row>
    <row r="140" spans="7:14" x14ac:dyDescent="0.35">
      <c r="G140">
        <f t="shared" si="17"/>
        <v>0</v>
      </c>
      <c r="J140">
        <f t="shared" si="18"/>
        <v>0</v>
      </c>
      <c r="M140">
        <f t="shared" si="19"/>
        <v>0</v>
      </c>
      <c r="N140" t="str">
        <f t="shared" si="20"/>
        <v/>
      </c>
    </row>
    <row r="141" spans="7:14" x14ac:dyDescent="0.35">
      <c r="G141">
        <f t="shared" si="17"/>
        <v>0</v>
      </c>
      <c r="J141">
        <f t="shared" si="18"/>
        <v>0</v>
      </c>
      <c r="M141">
        <f t="shared" si="19"/>
        <v>0</v>
      </c>
      <c r="N141" t="str">
        <f t="shared" si="20"/>
        <v/>
      </c>
    </row>
    <row r="142" spans="7:14" x14ac:dyDescent="0.35">
      <c r="G142">
        <f t="shared" si="17"/>
        <v>0</v>
      </c>
      <c r="J142">
        <f t="shared" si="18"/>
        <v>0</v>
      </c>
      <c r="M142">
        <f t="shared" si="19"/>
        <v>0</v>
      </c>
      <c r="N142" t="str">
        <f t="shared" si="20"/>
        <v/>
      </c>
    </row>
    <row r="143" spans="7:14" x14ac:dyDescent="0.35">
      <c r="G143">
        <f t="shared" si="17"/>
        <v>0</v>
      </c>
      <c r="J143">
        <f t="shared" si="18"/>
        <v>0</v>
      </c>
      <c r="M143">
        <f t="shared" si="19"/>
        <v>0</v>
      </c>
      <c r="N143" t="str">
        <f t="shared" si="20"/>
        <v/>
      </c>
    </row>
    <row r="144" spans="7:14" x14ac:dyDescent="0.35">
      <c r="G144">
        <f t="shared" si="17"/>
        <v>0</v>
      </c>
      <c r="J144">
        <f t="shared" si="18"/>
        <v>0</v>
      </c>
      <c r="M144">
        <f t="shared" si="19"/>
        <v>0</v>
      </c>
      <c r="N144" t="str">
        <f t="shared" si="20"/>
        <v/>
      </c>
    </row>
    <row r="145" spans="7:14" x14ac:dyDescent="0.35">
      <c r="G145">
        <f t="shared" si="17"/>
        <v>0</v>
      </c>
      <c r="J145">
        <f t="shared" si="18"/>
        <v>0</v>
      </c>
      <c r="M145">
        <f t="shared" si="19"/>
        <v>0</v>
      </c>
      <c r="N145" t="str">
        <f t="shared" si="20"/>
        <v/>
      </c>
    </row>
    <row r="146" spans="7:14" x14ac:dyDescent="0.35">
      <c r="G146">
        <f t="shared" si="17"/>
        <v>0</v>
      </c>
      <c r="J146">
        <f t="shared" si="18"/>
        <v>0</v>
      </c>
      <c r="M146">
        <f t="shared" si="19"/>
        <v>0</v>
      </c>
      <c r="N146" t="str">
        <f t="shared" si="20"/>
        <v/>
      </c>
    </row>
    <row r="147" spans="7:14" x14ac:dyDescent="0.35">
      <c r="G147">
        <f t="shared" si="17"/>
        <v>0</v>
      </c>
      <c r="J147">
        <f t="shared" si="18"/>
        <v>0</v>
      </c>
      <c r="M147">
        <f t="shared" si="19"/>
        <v>0</v>
      </c>
      <c r="N147" t="str">
        <f t="shared" si="20"/>
        <v/>
      </c>
    </row>
    <row r="148" spans="7:14" x14ac:dyDescent="0.35">
      <c r="G148">
        <f t="shared" si="17"/>
        <v>0</v>
      </c>
      <c r="J148">
        <f t="shared" si="18"/>
        <v>0</v>
      </c>
      <c r="M148">
        <f t="shared" si="19"/>
        <v>0</v>
      </c>
      <c r="N148" t="str">
        <f t="shared" si="20"/>
        <v/>
      </c>
    </row>
    <row r="149" spans="7:14" x14ac:dyDescent="0.35">
      <c r="G149">
        <f t="shared" si="17"/>
        <v>0</v>
      </c>
      <c r="J149">
        <f t="shared" si="18"/>
        <v>0</v>
      </c>
      <c r="M149">
        <f t="shared" si="19"/>
        <v>0</v>
      </c>
      <c r="N149" t="str">
        <f t="shared" si="20"/>
        <v/>
      </c>
    </row>
    <row r="150" spans="7:14" x14ac:dyDescent="0.35">
      <c r="G150">
        <f t="shared" si="17"/>
        <v>0</v>
      </c>
      <c r="J150">
        <f t="shared" si="18"/>
        <v>0</v>
      </c>
      <c r="M150">
        <f t="shared" si="19"/>
        <v>0</v>
      </c>
      <c r="N150" t="str">
        <f t="shared" si="20"/>
        <v/>
      </c>
    </row>
    <row r="151" spans="7:14" x14ac:dyDescent="0.35">
      <c r="G151">
        <f t="shared" si="17"/>
        <v>0</v>
      </c>
      <c r="J151">
        <f t="shared" si="18"/>
        <v>0</v>
      </c>
      <c r="M151">
        <f t="shared" si="19"/>
        <v>0</v>
      </c>
      <c r="N151" t="str">
        <f t="shared" si="20"/>
        <v/>
      </c>
    </row>
    <row r="152" spans="7:14" x14ac:dyDescent="0.35">
      <c r="G152">
        <f t="shared" si="17"/>
        <v>0</v>
      </c>
      <c r="J152">
        <f t="shared" si="18"/>
        <v>0</v>
      </c>
      <c r="M152">
        <f t="shared" si="19"/>
        <v>0</v>
      </c>
      <c r="N152" t="str">
        <f t="shared" si="20"/>
        <v/>
      </c>
    </row>
    <row r="153" spans="7:14" x14ac:dyDescent="0.35">
      <c r="G153">
        <f t="shared" ref="G153:G184" si="21">IF($D153="Debit",E153-F153,F153-E153)</f>
        <v>0</v>
      </c>
      <c r="J153">
        <f t="shared" ref="J153:J184" si="22">IF($D153="Debit",H153-I153,I153-H153)</f>
        <v>0</v>
      </c>
      <c r="M153">
        <f t="shared" ref="M153:M184" si="23">IF($D153="Debit",K153-L153,L153-K153)</f>
        <v>0</v>
      </c>
      <c r="N153" t="str">
        <f t="shared" si="20"/>
        <v/>
      </c>
    </row>
    <row r="154" spans="7:14" x14ac:dyDescent="0.35">
      <c r="G154">
        <f t="shared" si="21"/>
        <v>0</v>
      </c>
      <c r="J154">
        <f t="shared" si="22"/>
        <v>0</v>
      </c>
      <c r="M154">
        <f t="shared" si="23"/>
        <v>0</v>
      </c>
      <c r="N154" t="str">
        <f t="shared" ref="N154:N185" si="24">IF(A154&lt;&gt;"",LEFT(A154,3),"")</f>
        <v/>
      </c>
    </row>
    <row r="155" spans="7:14" x14ac:dyDescent="0.35">
      <c r="G155">
        <f t="shared" si="21"/>
        <v>0</v>
      </c>
      <c r="J155">
        <f t="shared" si="22"/>
        <v>0</v>
      </c>
      <c r="M155">
        <f t="shared" si="23"/>
        <v>0</v>
      </c>
      <c r="N155" t="str">
        <f t="shared" si="24"/>
        <v/>
      </c>
    </row>
    <row r="156" spans="7:14" x14ac:dyDescent="0.35">
      <c r="G156">
        <f t="shared" si="21"/>
        <v>0</v>
      </c>
      <c r="J156">
        <f t="shared" si="22"/>
        <v>0</v>
      </c>
      <c r="M156">
        <f t="shared" si="23"/>
        <v>0</v>
      </c>
      <c r="N156" t="str">
        <f t="shared" si="24"/>
        <v/>
      </c>
    </row>
    <row r="157" spans="7:14" x14ac:dyDescent="0.35">
      <c r="G157">
        <f t="shared" si="21"/>
        <v>0</v>
      </c>
      <c r="J157">
        <f t="shared" si="22"/>
        <v>0</v>
      </c>
      <c r="M157">
        <f t="shared" si="23"/>
        <v>0</v>
      </c>
      <c r="N157" t="str">
        <f t="shared" si="24"/>
        <v/>
      </c>
    </row>
    <row r="158" spans="7:14" x14ac:dyDescent="0.35">
      <c r="G158">
        <f t="shared" si="21"/>
        <v>0</v>
      </c>
      <c r="J158">
        <f t="shared" si="22"/>
        <v>0</v>
      </c>
      <c r="M158">
        <f t="shared" si="23"/>
        <v>0</v>
      </c>
      <c r="N158" t="str">
        <f t="shared" si="24"/>
        <v/>
      </c>
    </row>
    <row r="159" spans="7:14" x14ac:dyDescent="0.35">
      <c r="G159">
        <f t="shared" si="21"/>
        <v>0</v>
      </c>
      <c r="J159">
        <f t="shared" si="22"/>
        <v>0</v>
      </c>
      <c r="M159">
        <f t="shared" si="23"/>
        <v>0</v>
      </c>
      <c r="N159" t="str">
        <f t="shared" si="24"/>
        <v/>
      </c>
    </row>
    <row r="160" spans="7:14" x14ac:dyDescent="0.35">
      <c r="G160">
        <f t="shared" si="21"/>
        <v>0</v>
      </c>
      <c r="J160">
        <f t="shared" si="22"/>
        <v>0</v>
      </c>
      <c r="M160">
        <f t="shared" si="23"/>
        <v>0</v>
      </c>
      <c r="N160" t="str">
        <f t="shared" si="24"/>
        <v/>
      </c>
    </row>
    <row r="161" spans="7:14" x14ac:dyDescent="0.35">
      <c r="G161">
        <f t="shared" si="21"/>
        <v>0</v>
      </c>
      <c r="J161">
        <f t="shared" si="22"/>
        <v>0</v>
      </c>
      <c r="M161">
        <f t="shared" si="23"/>
        <v>0</v>
      </c>
      <c r="N161" t="str">
        <f t="shared" si="24"/>
        <v/>
      </c>
    </row>
    <row r="162" spans="7:14" x14ac:dyDescent="0.35">
      <c r="G162">
        <f t="shared" si="21"/>
        <v>0</v>
      </c>
      <c r="J162">
        <f t="shared" si="22"/>
        <v>0</v>
      </c>
      <c r="M162">
        <f t="shared" si="23"/>
        <v>0</v>
      </c>
      <c r="N162" t="str">
        <f t="shared" si="24"/>
        <v/>
      </c>
    </row>
    <row r="163" spans="7:14" x14ac:dyDescent="0.35">
      <c r="G163">
        <f t="shared" si="21"/>
        <v>0</v>
      </c>
      <c r="J163">
        <f t="shared" si="22"/>
        <v>0</v>
      </c>
      <c r="M163">
        <f t="shared" si="23"/>
        <v>0</v>
      </c>
      <c r="N163" t="str">
        <f t="shared" si="24"/>
        <v/>
      </c>
    </row>
    <row r="164" spans="7:14" x14ac:dyDescent="0.35">
      <c r="G164">
        <f t="shared" si="21"/>
        <v>0</v>
      </c>
      <c r="J164">
        <f t="shared" si="22"/>
        <v>0</v>
      </c>
      <c r="M164">
        <f t="shared" si="23"/>
        <v>0</v>
      </c>
      <c r="N164" t="str">
        <f t="shared" si="24"/>
        <v/>
      </c>
    </row>
    <row r="165" spans="7:14" x14ac:dyDescent="0.35">
      <c r="G165">
        <f t="shared" si="21"/>
        <v>0</v>
      </c>
      <c r="J165">
        <f t="shared" si="22"/>
        <v>0</v>
      </c>
      <c r="M165">
        <f t="shared" si="23"/>
        <v>0</v>
      </c>
      <c r="N165" t="str">
        <f t="shared" si="24"/>
        <v/>
      </c>
    </row>
    <row r="166" spans="7:14" x14ac:dyDescent="0.35">
      <c r="G166">
        <f t="shared" si="21"/>
        <v>0</v>
      </c>
      <c r="J166">
        <f t="shared" si="22"/>
        <v>0</v>
      </c>
      <c r="M166">
        <f t="shared" si="23"/>
        <v>0</v>
      </c>
      <c r="N166" t="str">
        <f t="shared" si="24"/>
        <v/>
      </c>
    </row>
    <row r="167" spans="7:14" x14ac:dyDescent="0.35">
      <c r="G167">
        <f t="shared" si="21"/>
        <v>0</v>
      </c>
      <c r="J167">
        <f t="shared" si="22"/>
        <v>0</v>
      </c>
      <c r="M167">
        <f t="shared" si="23"/>
        <v>0</v>
      </c>
      <c r="N167" t="str">
        <f t="shared" si="24"/>
        <v/>
      </c>
    </row>
    <row r="168" spans="7:14" x14ac:dyDescent="0.35">
      <c r="G168">
        <f t="shared" si="21"/>
        <v>0</v>
      </c>
      <c r="J168">
        <f t="shared" si="22"/>
        <v>0</v>
      </c>
      <c r="M168">
        <f t="shared" si="23"/>
        <v>0</v>
      </c>
      <c r="N168" t="str">
        <f t="shared" si="24"/>
        <v/>
      </c>
    </row>
    <row r="169" spans="7:14" x14ac:dyDescent="0.35">
      <c r="G169">
        <f t="shared" si="21"/>
        <v>0</v>
      </c>
      <c r="J169">
        <f t="shared" si="22"/>
        <v>0</v>
      </c>
      <c r="M169">
        <f t="shared" si="23"/>
        <v>0</v>
      </c>
      <c r="N169" t="str">
        <f t="shared" si="24"/>
        <v/>
      </c>
    </row>
    <row r="170" spans="7:14" x14ac:dyDescent="0.35">
      <c r="G170">
        <f t="shared" si="21"/>
        <v>0</v>
      </c>
      <c r="J170">
        <f t="shared" si="22"/>
        <v>0</v>
      </c>
      <c r="M170">
        <f t="shared" si="23"/>
        <v>0</v>
      </c>
      <c r="N170" t="str">
        <f t="shared" si="24"/>
        <v/>
      </c>
    </row>
    <row r="171" spans="7:14" x14ac:dyDescent="0.35">
      <c r="G171">
        <f t="shared" si="21"/>
        <v>0</v>
      </c>
      <c r="J171">
        <f t="shared" si="22"/>
        <v>0</v>
      </c>
      <c r="M171">
        <f t="shared" si="23"/>
        <v>0</v>
      </c>
      <c r="N171" t="str">
        <f t="shared" si="24"/>
        <v/>
      </c>
    </row>
    <row r="172" spans="7:14" x14ac:dyDescent="0.35">
      <c r="G172">
        <f t="shared" si="21"/>
        <v>0</v>
      </c>
      <c r="J172">
        <f t="shared" si="22"/>
        <v>0</v>
      </c>
      <c r="M172">
        <f t="shared" si="23"/>
        <v>0</v>
      </c>
      <c r="N172" t="str">
        <f t="shared" si="24"/>
        <v/>
      </c>
    </row>
    <row r="173" spans="7:14" x14ac:dyDescent="0.35">
      <c r="G173">
        <f t="shared" si="21"/>
        <v>0</v>
      </c>
      <c r="J173">
        <f t="shared" si="22"/>
        <v>0</v>
      </c>
      <c r="M173">
        <f t="shared" si="23"/>
        <v>0</v>
      </c>
      <c r="N173" t="str">
        <f t="shared" si="24"/>
        <v/>
      </c>
    </row>
    <row r="174" spans="7:14" x14ac:dyDescent="0.35">
      <c r="G174">
        <f t="shared" si="21"/>
        <v>0</v>
      </c>
      <c r="J174">
        <f t="shared" si="22"/>
        <v>0</v>
      </c>
      <c r="M174">
        <f t="shared" si="23"/>
        <v>0</v>
      </c>
      <c r="N174" t="str">
        <f t="shared" si="24"/>
        <v/>
      </c>
    </row>
    <row r="175" spans="7:14" x14ac:dyDescent="0.35">
      <c r="G175">
        <f t="shared" si="21"/>
        <v>0</v>
      </c>
      <c r="J175">
        <f t="shared" si="22"/>
        <v>0</v>
      </c>
      <c r="M175">
        <f t="shared" si="23"/>
        <v>0</v>
      </c>
      <c r="N175" t="str">
        <f t="shared" si="24"/>
        <v/>
      </c>
    </row>
    <row r="176" spans="7:14" x14ac:dyDescent="0.35">
      <c r="G176">
        <f t="shared" si="21"/>
        <v>0</v>
      </c>
      <c r="J176">
        <f t="shared" si="22"/>
        <v>0</v>
      </c>
      <c r="M176">
        <f t="shared" si="23"/>
        <v>0</v>
      </c>
      <c r="N176" t="str">
        <f t="shared" si="24"/>
        <v/>
      </c>
    </row>
    <row r="177" spans="7:14" x14ac:dyDescent="0.35">
      <c r="G177">
        <f t="shared" si="21"/>
        <v>0</v>
      </c>
      <c r="J177">
        <f t="shared" si="22"/>
        <v>0</v>
      </c>
      <c r="M177">
        <f t="shared" si="23"/>
        <v>0</v>
      </c>
      <c r="N177" t="str">
        <f t="shared" si="24"/>
        <v/>
      </c>
    </row>
    <row r="178" spans="7:14" x14ac:dyDescent="0.35">
      <c r="G178">
        <f t="shared" si="21"/>
        <v>0</v>
      </c>
      <c r="J178">
        <f t="shared" si="22"/>
        <v>0</v>
      </c>
      <c r="M178">
        <f t="shared" si="23"/>
        <v>0</v>
      </c>
      <c r="N178" t="str">
        <f t="shared" si="24"/>
        <v/>
      </c>
    </row>
    <row r="179" spans="7:14" x14ac:dyDescent="0.35">
      <c r="G179">
        <f t="shared" si="21"/>
        <v>0</v>
      </c>
      <c r="J179">
        <f t="shared" si="22"/>
        <v>0</v>
      </c>
      <c r="M179">
        <f t="shared" si="23"/>
        <v>0</v>
      </c>
      <c r="N179" t="str">
        <f t="shared" si="24"/>
        <v/>
      </c>
    </row>
    <row r="180" spans="7:14" x14ac:dyDescent="0.35">
      <c r="G180">
        <f t="shared" si="21"/>
        <v>0</v>
      </c>
      <c r="J180">
        <f t="shared" si="22"/>
        <v>0</v>
      </c>
      <c r="M180">
        <f t="shared" si="23"/>
        <v>0</v>
      </c>
      <c r="N180" t="str">
        <f t="shared" si="24"/>
        <v/>
      </c>
    </row>
    <row r="181" spans="7:14" x14ac:dyDescent="0.35">
      <c r="G181">
        <f t="shared" si="21"/>
        <v>0</v>
      </c>
      <c r="J181">
        <f t="shared" si="22"/>
        <v>0</v>
      </c>
      <c r="M181">
        <f t="shared" si="23"/>
        <v>0</v>
      </c>
      <c r="N181" t="str">
        <f t="shared" si="24"/>
        <v/>
      </c>
    </row>
    <row r="182" spans="7:14" x14ac:dyDescent="0.35">
      <c r="G182">
        <f t="shared" si="21"/>
        <v>0</v>
      </c>
      <c r="J182">
        <f t="shared" si="22"/>
        <v>0</v>
      </c>
      <c r="M182">
        <f t="shared" si="23"/>
        <v>0</v>
      </c>
      <c r="N182" t="str">
        <f t="shared" si="24"/>
        <v/>
      </c>
    </row>
    <row r="183" spans="7:14" x14ac:dyDescent="0.35">
      <c r="G183">
        <f t="shared" si="21"/>
        <v>0</v>
      </c>
      <c r="J183">
        <f t="shared" si="22"/>
        <v>0</v>
      </c>
      <c r="M183">
        <f t="shared" si="23"/>
        <v>0</v>
      </c>
      <c r="N183" t="str">
        <f t="shared" si="24"/>
        <v/>
      </c>
    </row>
    <row r="184" spans="7:14" x14ac:dyDescent="0.35">
      <c r="G184">
        <f t="shared" si="21"/>
        <v>0</v>
      </c>
      <c r="J184">
        <f t="shared" si="22"/>
        <v>0</v>
      </c>
      <c r="M184">
        <f t="shared" si="23"/>
        <v>0</v>
      </c>
      <c r="N184" t="str">
        <f t="shared" si="24"/>
        <v/>
      </c>
    </row>
    <row r="185" spans="7:14" x14ac:dyDescent="0.35">
      <c r="G185">
        <f t="shared" ref="G185:G200" si="25">IF($D185="Debit",E185-F185,F185-E185)</f>
        <v>0</v>
      </c>
      <c r="J185">
        <f t="shared" ref="J185:J200" si="26">IF($D185="Debit",H185-I185,I185-H185)</f>
        <v>0</v>
      </c>
      <c r="M185">
        <f t="shared" ref="M185:M200" si="27">IF($D185="Debit",K185-L185,L185-K185)</f>
        <v>0</v>
      </c>
      <c r="N185" t="str">
        <f t="shared" si="24"/>
        <v/>
      </c>
    </row>
    <row r="186" spans="7:14" x14ac:dyDescent="0.35">
      <c r="G186">
        <f t="shared" si="25"/>
        <v>0</v>
      </c>
      <c r="J186">
        <f t="shared" si="26"/>
        <v>0</v>
      </c>
      <c r="M186">
        <f t="shared" si="27"/>
        <v>0</v>
      </c>
      <c r="N186" t="str">
        <f t="shared" ref="N186:N200" si="28">IF(A186&lt;&gt;"",LEFT(A186,3),"")</f>
        <v/>
      </c>
    </row>
    <row r="187" spans="7:14" x14ac:dyDescent="0.35">
      <c r="G187">
        <f t="shared" si="25"/>
        <v>0</v>
      </c>
      <c r="J187">
        <f t="shared" si="26"/>
        <v>0</v>
      </c>
      <c r="M187">
        <f t="shared" si="27"/>
        <v>0</v>
      </c>
      <c r="N187" t="str">
        <f t="shared" si="28"/>
        <v/>
      </c>
    </row>
    <row r="188" spans="7:14" x14ac:dyDescent="0.35">
      <c r="G188">
        <f t="shared" si="25"/>
        <v>0</v>
      </c>
      <c r="J188">
        <f t="shared" si="26"/>
        <v>0</v>
      </c>
      <c r="M188">
        <f t="shared" si="27"/>
        <v>0</v>
      </c>
      <c r="N188" t="str">
        <f t="shared" si="28"/>
        <v/>
      </c>
    </row>
    <row r="189" spans="7:14" x14ac:dyDescent="0.35">
      <c r="G189">
        <f t="shared" si="25"/>
        <v>0</v>
      </c>
      <c r="J189">
        <f t="shared" si="26"/>
        <v>0</v>
      </c>
      <c r="M189">
        <f t="shared" si="27"/>
        <v>0</v>
      </c>
      <c r="N189" t="str">
        <f t="shared" si="28"/>
        <v/>
      </c>
    </row>
    <row r="190" spans="7:14" x14ac:dyDescent="0.35">
      <c r="G190">
        <f t="shared" si="25"/>
        <v>0</v>
      </c>
      <c r="J190">
        <f t="shared" si="26"/>
        <v>0</v>
      </c>
      <c r="M190">
        <f t="shared" si="27"/>
        <v>0</v>
      </c>
      <c r="N190" t="str">
        <f t="shared" si="28"/>
        <v/>
      </c>
    </row>
    <row r="191" spans="7:14" x14ac:dyDescent="0.35">
      <c r="G191">
        <f t="shared" si="25"/>
        <v>0</v>
      </c>
      <c r="J191">
        <f t="shared" si="26"/>
        <v>0</v>
      </c>
      <c r="M191">
        <f t="shared" si="27"/>
        <v>0</v>
      </c>
      <c r="N191" t="str">
        <f t="shared" si="28"/>
        <v/>
      </c>
    </row>
    <row r="192" spans="7:14" x14ac:dyDescent="0.35">
      <c r="G192">
        <f t="shared" si="25"/>
        <v>0</v>
      </c>
      <c r="J192">
        <f t="shared" si="26"/>
        <v>0</v>
      </c>
      <c r="M192">
        <f t="shared" si="27"/>
        <v>0</v>
      </c>
      <c r="N192" t="str">
        <f t="shared" si="28"/>
        <v/>
      </c>
    </row>
    <row r="193" spans="7:14" x14ac:dyDescent="0.35">
      <c r="G193">
        <f t="shared" si="25"/>
        <v>0</v>
      </c>
      <c r="J193">
        <f t="shared" si="26"/>
        <v>0</v>
      </c>
      <c r="M193">
        <f t="shared" si="27"/>
        <v>0</v>
      </c>
      <c r="N193" t="str">
        <f t="shared" si="28"/>
        <v/>
      </c>
    </row>
    <row r="194" spans="7:14" x14ac:dyDescent="0.35">
      <c r="G194">
        <f t="shared" si="25"/>
        <v>0</v>
      </c>
      <c r="J194">
        <f t="shared" si="26"/>
        <v>0</v>
      </c>
      <c r="M194">
        <f t="shared" si="27"/>
        <v>0</v>
      </c>
      <c r="N194" t="str">
        <f t="shared" si="28"/>
        <v/>
      </c>
    </row>
    <row r="195" spans="7:14" x14ac:dyDescent="0.35">
      <c r="G195">
        <f t="shared" si="25"/>
        <v>0</v>
      </c>
      <c r="J195">
        <f t="shared" si="26"/>
        <v>0</v>
      </c>
      <c r="M195">
        <f t="shared" si="27"/>
        <v>0</v>
      </c>
      <c r="N195" t="str">
        <f t="shared" si="28"/>
        <v/>
      </c>
    </row>
    <row r="196" spans="7:14" x14ac:dyDescent="0.35">
      <c r="G196">
        <f t="shared" si="25"/>
        <v>0</v>
      </c>
      <c r="J196">
        <f t="shared" si="26"/>
        <v>0</v>
      </c>
      <c r="M196">
        <f t="shared" si="27"/>
        <v>0</v>
      </c>
      <c r="N196" t="str">
        <f t="shared" si="28"/>
        <v/>
      </c>
    </row>
    <row r="197" spans="7:14" x14ac:dyDescent="0.35">
      <c r="G197">
        <f t="shared" si="25"/>
        <v>0</v>
      </c>
      <c r="J197">
        <f t="shared" si="26"/>
        <v>0</v>
      </c>
      <c r="M197">
        <f t="shared" si="27"/>
        <v>0</v>
      </c>
      <c r="N197" t="str">
        <f t="shared" si="28"/>
        <v/>
      </c>
    </row>
    <row r="198" spans="7:14" x14ac:dyDescent="0.35">
      <c r="G198">
        <f t="shared" si="25"/>
        <v>0</v>
      </c>
      <c r="J198">
        <f t="shared" si="26"/>
        <v>0</v>
      </c>
      <c r="M198">
        <f t="shared" si="27"/>
        <v>0</v>
      </c>
      <c r="N198" t="str">
        <f t="shared" si="28"/>
        <v/>
      </c>
    </row>
    <row r="199" spans="7:14" x14ac:dyDescent="0.35">
      <c r="G199">
        <f t="shared" si="25"/>
        <v>0</v>
      </c>
      <c r="J199">
        <f t="shared" si="26"/>
        <v>0</v>
      </c>
      <c r="M199">
        <f t="shared" si="27"/>
        <v>0</v>
      </c>
      <c r="N199" t="str">
        <f t="shared" si="28"/>
        <v/>
      </c>
    </row>
    <row r="200" spans="7:14" x14ac:dyDescent="0.35">
      <c r="G200">
        <f t="shared" si="25"/>
        <v>0</v>
      </c>
      <c r="J200">
        <f t="shared" si="26"/>
        <v>0</v>
      </c>
      <c r="M200">
        <f t="shared" si="27"/>
        <v>0</v>
      </c>
      <c r="N200" t="str">
        <f t="shared" si="28"/>
        <v/>
      </c>
    </row>
  </sheetData>
  <mergeCells count="7">
    <mergeCell ref="A1:D1"/>
    <mergeCell ref="E2:G2"/>
    <mergeCell ref="K2:M2"/>
    <mergeCell ref="K3:M3"/>
    <mergeCell ref="E3:G3"/>
    <mergeCell ref="H2:J2"/>
    <mergeCell ref="H3:J3"/>
  </mergeCells>
  <pageMargins left="0.75" right="0.75" top="1" bottom="1" header="0.5" footer="0.5"/>
  <pageSetup paperSize="9" orientation="portrait" horizontalDpi="300" verticalDpi="300" r:id="rId1"/>
  <ignoredErrors>
    <ignoredError sqref="M24 J24 G24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580"/>
  </sheetPr>
  <dimension ref="A1:M4"/>
  <sheetViews>
    <sheetView zoomScaleNormal="100" workbookViewId="0">
      <pane ySplit="1" topLeftCell="A2" activePane="bottomLeft" state="frozen"/>
      <selection pane="bottomLeft" activeCell="H1" sqref="H1"/>
    </sheetView>
  </sheetViews>
  <sheetFormatPr defaultRowHeight="14.5" x14ac:dyDescent="0.35"/>
  <cols>
    <col min="1" max="1" width="12" customWidth="1"/>
    <col min="2" max="2" width="18" customWidth="1"/>
    <col min="3" max="4" width="15" customWidth="1"/>
    <col min="5" max="5" width="40" customWidth="1"/>
    <col min="6" max="6" width="15" customWidth="1"/>
    <col min="7" max="7" width="12" customWidth="1"/>
    <col min="8" max="8" width="15" customWidth="1"/>
    <col min="9" max="9" width="12" customWidth="1"/>
    <col min="10" max="11" width="20" customWidth="1"/>
    <col min="12" max="12" width="18" customWidth="1"/>
    <col min="13" max="13" width="30" customWidth="1"/>
  </cols>
  <sheetData>
    <row r="1" spans="1:13" x14ac:dyDescent="0.35">
      <c r="A1" s="15" t="s">
        <v>461</v>
      </c>
      <c r="B1" s="15" t="s">
        <v>462</v>
      </c>
      <c r="C1" s="15" t="s">
        <v>463</v>
      </c>
      <c r="D1" s="15" t="s">
        <v>464</v>
      </c>
      <c r="E1" s="15" t="s">
        <v>465</v>
      </c>
      <c r="F1" s="15" t="s">
        <v>466</v>
      </c>
      <c r="G1" s="15" t="s">
        <v>467</v>
      </c>
      <c r="H1" s="15" t="s">
        <v>468</v>
      </c>
      <c r="I1" s="15" t="s">
        <v>469</v>
      </c>
      <c r="J1" s="15" t="s">
        <v>470</v>
      </c>
      <c r="K1" s="15" t="s">
        <v>471</v>
      </c>
      <c r="L1" s="15" t="s">
        <v>472</v>
      </c>
      <c r="M1" s="15" t="s">
        <v>49</v>
      </c>
    </row>
    <row r="2" spans="1:13" x14ac:dyDescent="0.35">
      <c r="A2" t="s">
        <v>473</v>
      </c>
      <c r="B2" t="s">
        <v>474</v>
      </c>
      <c r="C2" t="s">
        <v>50</v>
      </c>
      <c r="D2" t="s">
        <v>58</v>
      </c>
      <c r="E2" t="s">
        <v>475</v>
      </c>
      <c r="F2" s="13">
        <v>30000</v>
      </c>
      <c r="G2" s="6">
        <v>0.1</v>
      </c>
      <c r="H2" s="13">
        <f>IF(B2="EPC_Revenue", F2*G2, 0)</f>
        <v>3000</v>
      </c>
      <c r="I2" t="s">
        <v>5</v>
      </c>
      <c r="J2" t="s">
        <v>300</v>
      </c>
      <c r="K2" t="s">
        <v>117</v>
      </c>
      <c r="L2" t="s">
        <v>476</v>
      </c>
      <c r="M2" t="s">
        <v>477</v>
      </c>
    </row>
    <row r="3" spans="1:13" x14ac:dyDescent="0.35">
      <c r="A3" t="s">
        <v>478</v>
      </c>
      <c r="B3" t="s">
        <v>479</v>
      </c>
      <c r="C3" t="s">
        <v>50</v>
      </c>
      <c r="D3" t="s">
        <v>58</v>
      </c>
      <c r="E3" t="s">
        <v>480</v>
      </c>
      <c r="F3" s="13">
        <v>20000</v>
      </c>
      <c r="G3" s="6">
        <v>0</v>
      </c>
      <c r="H3" s="13">
        <f>IF(B3="EPC_Revenue", F3*G3, 0)</f>
        <v>0</v>
      </c>
      <c r="I3" t="s">
        <v>5</v>
      </c>
      <c r="J3" t="s">
        <v>481</v>
      </c>
      <c r="K3" t="s">
        <v>482</v>
      </c>
      <c r="L3" t="s">
        <v>476</v>
      </c>
      <c r="M3" t="s">
        <v>477</v>
      </c>
    </row>
    <row r="4" spans="1:13" x14ac:dyDescent="0.35">
      <c r="A4" t="s">
        <v>483</v>
      </c>
      <c r="B4" t="s">
        <v>484</v>
      </c>
      <c r="C4" t="s">
        <v>50</v>
      </c>
      <c r="D4" t="s">
        <v>58</v>
      </c>
      <c r="E4" t="s">
        <v>485</v>
      </c>
      <c r="F4" s="13">
        <v>200</v>
      </c>
      <c r="G4" s="6">
        <v>0</v>
      </c>
      <c r="H4" s="13">
        <f>IF(B4="EPC_Revenue", F4*G4, 0)</f>
        <v>0</v>
      </c>
      <c r="I4" t="s">
        <v>5</v>
      </c>
      <c r="J4" t="s">
        <v>312</v>
      </c>
      <c r="K4" t="s">
        <v>486</v>
      </c>
      <c r="L4" t="s">
        <v>476</v>
      </c>
      <c r="M4" t="s">
        <v>477</v>
      </c>
    </row>
  </sheetData>
  <pageMargins left="0.75" right="0.75" top="1" bottom="1" header="0.5" footer="0.5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DDA0DD"/>
  </sheetPr>
  <dimension ref="A1:J28"/>
  <sheetViews>
    <sheetView tabSelected="1" workbookViewId="0">
      <pane ySplit="1" topLeftCell="A13" activePane="bottomLeft" state="frozen"/>
      <selection pane="bottomLeft" activeCell="E19" sqref="E19"/>
    </sheetView>
  </sheetViews>
  <sheetFormatPr defaultRowHeight="14.5" x14ac:dyDescent="0.35"/>
  <cols>
    <col min="1" max="1" width="15" customWidth="1"/>
    <col min="2" max="2" width="40" customWidth="1"/>
    <col min="3" max="4" width="12" customWidth="1"/>
    <col min="5" max="7" width="15" customWidth="1"/>
    <col min="8" max="10" width="18" customWidth="1"/>
  </cols>
  <sheetData>
    <row r="1" spans="1:10" x14ac:dyDescent="0.35">
      <c r="A1" s="23" t="s">
        <v>180</v>
      </c>
      <c r="B1" s="23" t="s">
        <v>181</v>
      </c>
      <c r="C1" s="23" t="s">
        <v>184</v>
      </c>
      <c r="D1" s="23" t="s">
        <v>185</v>
      </c>
      <c r="E1" s="23" t="s">
        <v>487</v>
      </c>
      <c r="F1" s="23" t="s">
        <v>488</v>
      </c>
      <c r="G1" s="23" t="s">
        <v>489</v>
      </c>
      <c r="H1" s="23" t="s">
        <v>490</v>
      </c>
      <c r="I1" s="23" t="s">
        <v>491</v>
      </c>
      <c r="J1" s="23" t="s">
        <v>492</v>
      </c>
    </row>
    <row r="2" spans="1:10" x14ac:dyDescent="0.35">
      <c r="A2" s="10" t="s">
        <v>191</v>
      </c>
      <c r="B2" s="10" t="s">
        <v>192</v>
      </c>
      <c r="C2" s="10">
        <v>1000</v>
      </c>
      <c r="D2">
        <v>0</v>
      </c>
      <c r="E2" s="14">
        <f>E3+E12</f>
        <v>52500</v>
      </c>
      <c r="F2" s="14">
        <f>F3+F12</f>
        <v>85100</v>
      </c>
      <c r="G2" s="14">
        <f>G3+G12</f>
        <v>36550</v>
      </c>
      <c r="H2" s="14">
        <f t="shared" ref="H2:H28" si="0">SUM(E2:G2)</f>
        <v>174150</v>
      </c>
      <c r="I2" s="14">
        <f>I3+I12</f>
        <v>17000</v>
      </c>
      <c r="J2" s="14">
        <f t="shared" ref="J2:J28" si="1">H2-I2</f>
        <v>157150</v>
      </c>
    </row>
    <row r="3" spans="1:10" x14ac:dyDescent="0.35">
      <c r="A3" t="s">
        <v>198</v>
      </c>
      <c r="B3" t="s">
        <v>199</v>
      </c>
      <c r="C3">
        <v>100</v>
      </c>
      <c r="D3">
        <v>1</v>
      </c>
      <c r="E3" s="13">
        <f>E4+E5+E6+E7+E8</f>
        <v>32000</v>
      </c>
      <c r="F3" s="13">
        <f>F4+F5+F6+F7+F8</f>
        <v>75000</v>
      </c>
      <c r="G3" s="13">
        <f>G4+G5+G6+G7+G8</f>
        <v>32500</v>
      </c>
      <c r="H3" s="13">
        <f t="shared" si="0"/>
        <v>139500</v>
      </c>
      <c r="I3" s="13">
        <f>I4+I5+I6+I7+I8</f>
        <v>17000</v>
      </c>
      <c r="J3" s="13">
        <f t="shared" si="1"/>
        <v>122500</v>
      </c>
    </row>
    <row r="4" spans="1:10" x14ac:dyDescent="0.35">
      <c r="A4" t="s">
        <v>202</v>
      </c>
      <c r="B4" t="s">
        <v>203</v>
      </c>
      <c r="C4">
        <v>110</v>
      </c>
      <c r="D4">
        <v>2</v>
      </c>
      <c r="E4" s="13">
        <f>SUMPRODUCT((LEFT(TB_Input!$A$5:$A$200,3)="110")*(TB_Input!$G$5:$G$200))+SUMPRODUCT((LEFT(TB_Input!$A$5:$A$200,3)="115")*(TB_Input!$G$5:$G$200))</f>
        <v>10000</v>
      </c>
      <c r="F4" s="13">
        <f>SUMPRODUCT((LEFT(TB_Input!$A$5:$A$200,3)="110")*(TB_Input!$J$5:$J$200))+SUMPRODUCT((LEFT(TB_Input!$A$5:$A$200,3)="115")*(TB_Input!$J$5:$J$200))</f>
        <v>45000</v>
      </c>
      <c r="G4" s="13">
        <f>SUMPRODUCT((LEFT(TB_Input!$A$5:$A$200,3)="110")*(TB_Input!$M$5:$M$200))+SUMPRODUCT((LEFT(TB_Input!$A$5:$A$200,3)="115")*(TB_Input!$M$5:$M$200))</f>
        <v>22500</v>
      </c>
      <c r="H4" s="13">
        <f t="shared" si="0"/>
        <v>77500</v>
      </c>
      <c r="I4" s="13">
        <f>IFERROR(SUMIF(Eliminations!$B$2:$B$100,A4,Eliminations!$E$2:$E$100),0)+IFERROR(SUMIF(Eliminations!$C$2:$C$100,A4,Eliminations!$E$2:$E$100),0)</f>
        <v>0</v>
      </c>
      <c r="J4" s="13">
        <f t="shared" si="1"/>
        <v>77500</v>
      </c>
    </row>
    <row r="5" spans="1:10" x14ac:dyDescent="0.35">
      <c r="A5" t="s">
        <v>207</v>
      </c>
      <c r="B5" t="s">
        <v>208</v>
      </c>
      <c r="C5">
        <v>120</v>
      </c>
      <c r="D5">
        <v>2</v>
      </c>
      <c r="E5" s="13">
        <f>SUMPRODUCT((LEFT(TB_Input!$A$5:$A$200,3)="111")*(TB_Input!$G$5:$G$200))</f>
        <v>2000</v>
      </c>
      <c r="F5" s="13">
        <f>SUMPRODUCT((LEFT(TB_Input!$A$5:$A$200,3)="111")*(TB_Input!$J$5:$J$200))</f>
        <v>30000</v>
      </c>
      <c r="G5" s="13">
        <f>SUMPRODUCT((LEFT(TB_Input!$A$5:$A$200,3)="111")*(TB_Input!$M$5:$M$200))</f>
        <v>10000</v>
      </c>
      <c r="H5" s="13">
        <f t="shared" si="0"/>
        <v>42000</v>
      </c>
      <c r="I5" s="13">
        <f>IFERROR(SUMIF(Eliminations!$B$2:$B$100,A5,Eliminations!$E$2:$E$100),0)+IFERROR(SUMIF(Eliminations!$C$2:$C$100,A5,Eliminations!$E$2:$E$100),0)</f>
        <v>-3000</v>
      </c>
      <c r="J5" s="13">
        <f t="shared" si="1"/>
        <v>45000</v>
      </c>
    </row>
    <row r="6" spans="1:10" x14ac:dyDescent="0.35">
      <c r="A6" t="s">
        <v>210</v>
      </c>
      <c r="B6" t="s">
        <v>211</v>
      </c>
      <c r="C6">
        <v>130</v>
      </c>
      <c r="D6">
        <v>2</v>
      </c>
      <c r="E6" s="13">
        <f>SUMPRODUCT((LEFT(TB_Input!$A$5:$A$200,3)="112")*(TB_Input!$G$5:$G$200))</f>
        <v>0</v>
      </c>
      <c r="F6" s="13">
        <f>SUMPRODUCT((LEFT(TB_Input!$A$5:$A$200,3)="112")*(TB_Input!$J$5:$J$200))</f>
        <v>0</v>
      </c>
      <c r="G6" s="13">
        <f>SUMPRODUCT((LEFT(TB_Input!$A$5:$A$200,3)="112")*(TB_Input!$M$5:$M$200))</f>
        <v>0</v>
      </c>
      <c r="H6" s="13">
        <f t="shared" si="0"/>
        <v>0</v>
      </c>
      <c r="I6" s="13">
        <f>IFERROR(SUMIF(Eliminations!$B$2:$B$100,A6,Eliminations!$E$2:$E$100),0)+IFERROR(SUMIF(Eliminations!$C$2:$C$100,A6,Eliminations!$E$2:$E$100),0)</f>
        <v>0</v>
      </c>
      <c r="J6" s="13">
        <f t="shared" si="1"/>
        <v>0</v>
      </c>
    </row>
    <row r="7" spans="1:10" x14ac:dyDescent="0.35">
      <c r="A7" t="s">
        <v>214</v>
      </c>
      <c r="B7" t="s">
        <v>215</v>
      </c>
      <c r="C7">
        <v>140</v>
      </c>
      <c r="D7">
        <v>2</v>
      </c>
      <c r="E7" s="13">
        <f>SUMPRODUCT((LEFT(TB_Input!$A$5:$A$200,3)="113")*(TB_Input!$G$5:$G$200))</f>
        <v>0</v>
      </c>
      <c r="F7" s="13">
        <f>SUMPRODUCT((LEFT(TB_Input!$A$5:$A$200,3)="113")*(TB_Input!$J$5:$J$200))</f>
        <v>0</v>
      </c>
      <c r="G7" s="13">
        <f>SUMPRODUCT((LEFT(TB_Input!$A$5:$A$200,3)="113")*(TB_Input!$M$5:$M$200))</f>
        <v>0</v>
      </c>
      <c r="H7" s="13">
        <f t="shared" si="0"/>
        <v>0</v>
      </c>
      <c r="I7" s="13">
        <f>IFERROR(SUMIF(Eliminations!$B$2:$B$100,A7,Eliminations!$E$2:$E$100),0)+IFERROR(SUMIF(Eliminations!$C$2:$C$100,A7,Eliminations!$E$2:$E$100),0)</f>
        <v>0</v>
      </c>
      <c r="J7" s="13">
        <f t="shared" si="1"/>
        <v>0</v>
      </c>
    </row>
    <row r="8" spans="1:10" x14ac:dyDescent="0.35">
      <c r="A8" t="s">
        <v>218</v>
      </c>
      <c r="B8" t="s">
        <v>219</v>
      </c>
      <c r="C8">
        <v>150</v>
      </c>
      <c r="D8">
        <v>2</v>
      </c>
      <c r="E8" s="13">
        <f>E9+E10+E11</f>
        <v>20000</v>
      </c>
      <c r="F8" s="13">
        <f>F9+F10+F11</f>
        <v>0</v>
      </c>
      <c r="G8" s="13">
        <f>G9+G10+G11</f>
        <v>0</v>
      </c>
      <c r="H8" s="13">
        <f t="shared" si="0"/>
        <v>20000</v>
      </c>
      <c r="I8" s="13">
        <f>I9+I10+I11</f>
        <v>20000</v>
      </c>
      <c r="J8" s="13">
        <f t="shared" si="1"/>
        <v>0</v>
      </c>
    </row>
    <row r="9" spans="1:10" x14ac:dyDescent="0.35">
      <c r="A9" t="s">
        <v>221</v>
      </c>
      <c r="B9" t="s">
        <v>222</v>
      </c>
      <c r="C9">
        <v>151</v>
      </c>
      <c r="D9">
        <v>3</v>
      </c>
      <c r="E9" s="13">
        <f>SUMPRODUCT((LEFT(TB_Input!$A$5:$A$200,3)="120")*(TB_Input!$G$5:$G$200))</f>
        <v>0</v>
      </c>
      <c r="F9" s="13">
        <f>SUMPRODUCT((LEFT(TB_Input!$A$5:$A$200,3)="120")*(TB_Input!$J$5:$J$200))</f>
        <v>0</v>
      </c>
      <c r="G9" s="13">
        <f>SUMPRODUCT((LEFT(TB_Input!$A$5:$A$200,3)="120")*(TB_Input!$M$5:$M$200))</f>
        <v>0</v>
      </c>
      <c r="H9" s="13">
        <f t="shared" si="0"/>
        <v>0</v>
      </c>
      <c r="I9" s="13">
        <f>IFERROR(SUMIF(Eliminations!$B$2:$B$100,A9,Eliminations!$E$2:$E$100),0)+IFERROR(SUMIF(Eliminations!$C$2:$C$100,A9,Eliminations!$E$2:$E$100),0)</f>
        <v>0</v>
      </c>
      <c r="J9" s="13">
        <f t="shared" si="1"/>
        <v>0</v>
      </c>
    </row>
    <row r="10" spans="1:10" x14ac:dyDescent="0.35">
      <c r="A10" t="s">
        <v>225</v>
      </c>
      <c r="B10" t="s">
        <v>226</v>
      </c>
      <c r="C10">
        <v>152</v>
      </c>
      <c r="D10">
        <v>3</v>
      </c>
      <c r="E10" s="13">
        <f>SUMPRODUCT((LEFT(TB_Input!$A$5:$A$200,3)="121")*(TB_Input!$G$5:$G$200))</f>
        <v>0</v>
      </c>
      <c r="F10" s="13">
        <f>SUMPRODUCT((LEFT(TB_Input!$A$5:$A$200,3)="121")*(TB_Input!$J$5:$J$200))</f>
        <v>0</v>
      </c>
      <c r="G10" s="13">
        <f>SUMPRODUCT((LEFT(TB_Input!$A$5:$A$200,3)="121")*(TB_Input!$M$5:$M$200))</f>
        <v>0</v>
      </c>
      <c r="H10" s="13">
        <f t="shared" si="0"/>
        <v>0</v>
      </c>
      <c r="I10" s="13">
        <f>IFERROR(SUMIF(Eliminations!$B$2:$B$100,A10,Eliminations!$E$2:$E$100),0)+IFERROR(SUMIF(Eliminations!$C$2:$C$100,A10,Eliminations!$E$2:$E$100),0)</f>
        <v>0</v>
      </c>
      <c r="J10" s="13">
        <f t="shared" si="1"/>
        <v>0</v>
      </c>
    </row>
    <row r="11" spans="1:10" x14ac:dyDescent="0.35">
      <c r="A11" t="s">
        <v>229</v>
      </c>
      <c r="B11" t="s">
        <v>230</v>
      </c>
      <c r="C11">
        <v>153</v>
      </c>
      <c r="D11">
        <v>3</v>
      </c>
      <c r="E11" s="13">
        <f>SUMPRODUCT((LEFT(TB_Input!$A$5:$A$200,3)="122")*(TB_Input!$G$5:$G$200))</f>
        <v>20000</v>
      </c>
      <c r="F11" s="13">
        <f>SUMPRODUCT((LEFT(TB_Input!$A$5:$A$200,3)="122")*(TB_Input!$J$5:$J$200))</f>
        <v>0</v>
      </c>
      <c r="G11" s="13">
        <f>SUMPRODUCT((LEFT(TB_Input!$A$5:$A$200,3)="122")*(TB_Input!$M$5:$M$200))</f>
        <v>0</v>
      </c>
      <c r="H11" s="13">
        <f t="shared" si="0"/>
        <v>20000</v>
      </c>
      <c r="I11" s="13">
        <f>IFERROR(SUMIF(Eliminations!$B$2:$B$100,A11,Eliminations!$E$2:$E$100),0)+IFERROR(SUMIF(Eliminations!$C$2:$C$100,A11,Eliminations!$E$2:$E$100),0)</f>
        <v>20000</v>
      </c>
      <c r="J11" s="13">
        <f t="shared" si="1"/>
        <v>0</v>
      </c>
    </row>
    <row r="12" spans="1:10" x14ac:dyDescent="0.35">
      <c r="A12" t="s">
        <v>233</v>
      </c>
      <c r="B12" t="s">
        <v>234</v>
      </c>
      <c r="C12">
        <v>200</v>
      </c>
      <c r="D12">
        <v>1</v>
      </c>
      <c r="E12" s="13">
        <f>E13+E14</f>
        <v>20500</v>
      </c>
      <c r="F12" s="13">
        <f>F13+F14</f>
        <v>10100</v>
      </c>
      <c r="G12" s="13">
        <f>G13+G14</f>
        <v>4050</v>
      </c>
      <c r="H12" s="13">
        <f t="shared" si="0"/>
        <v>34650</v>
      </c>
      <c r="I12" s="13">
        <f>I13+I14</f>
        <v>0</v>
      </c>
      <c r="J12" s="13">
        <f t="shared" si="1"/>
        <v>34650</v>
      </c>
    </row>
    <row r="13" spans="1:10" x14ac:dyDescent="0.35">
      <c r="A13" t="s">
        <v>235</v>
      </c>
      <c r="B13" t="s">
        <v>236</v>
      </c>
      <c r="C13">
        <v>210</v>
      </c>
      <c r="D13">
        <v>2</v>
      </c>
      <c r="E13" s="13">
        <f>SUMPRODUCT((LEFT(TB_Input!$A$5:$A$200,3)="140")*(TB_Input!$G$5:$G$200))</f>
        <v>0</v>
      </c>
      <c r="F13" s="13">
        <f>SUMPRODUCT((LEFT(TB_Input!$A$5:$A$200,3)="140")*(TB_Input!$J$5:$J$200))</f>
        <v>0</v>
      </c>
      <c r="G13" s="13">
        <f>SUMPRODUCT((LEFT(TB_Input!$A$5:$A$200,3)="140")*(TB_Input!$M$5:$M$200))</f>
        <v>0</v>
      </c>
      <c r="H13" s="13">
        <f t="shared" si="0"/>
        <v>0</v>
      </c>
      <c r="I13" s="13">
        <f>IFERROR(SUMIF(Eliminations!$B$2:$B$100,A13,Eliminations!$E$2:$E$100),0)+IFERROR(SUMIF(Eliminations!$C$2:$C$100,A13,Eliminations!$E$2:$E$100),0)</f>
        <v>0</v>
      </c>
      <c r="J13" s="13">
        <f t="shared" si="1"/>
        <v>0</v>
      </c>
    </row>
    <row r="14" spans="1:10" x14ac:dyDescent="0.35">
      <c r="A14" t="s">
        <v>239</v>
      </c>
      <c r="B14" t="s">
        <v>240</v>
      </c>
      <c r="C14">
        <v>220</v>
      </c>
      <c r="D14">
        <v>2</v>
      </c>
      <c r="E14" s="13">
        <f>E15+E16</f>
        <v>20500</v>
      </c>
      <c r="F14" s="13">
        <f>F15+F16</f>
        <v>10100</v>
      </c>
      <c r="G14" s="13">
        <f>G15+G16</f>
        <v>4050</v>
      </c>
      <c r="H14" s="13">
        <f t="shared" si="0"/>
        <v>34650</v>
      </c>
      <c r="I14" s="13">
        <f>I15+I16</f>
        <v>0</v>
      </c>
      <c r="J14" s="13">
        <f t="shared" si="1"/>
        <v>34650</v>
      </c>
    </row>
    <row r="15" spans="1:10" x14ac:dyDescent="0.35">
      <c r="A15" t="s">
        <v>241</v>
      </c>
      <c r="B15" t="s">
        <v>242</v>
      </c>
      <c r="C15">
        <v>221</v>
      </c>
      <c r="D15">
        <v>3</v>
      </c>
      <c r="E15" s="13">
        <f>SUMPRODUCT((LEFT(TB_Input!$A$5:$A$200,3)="141")*(TB_Input!$G$5:$G$200))</f>
        <v>5000</v>
      </c>
      <c r="F15" s="13">
        <f>SUMPRODUCT((LEFT(TB_Input!$A$5:$A$200,3)="141")*(TB_Input!$J$5:$J$200))</f>
        <v>8000</v>
      </c>
      <c r="G15" s="13">
        <f>SUMPRODUCT((LEFT(TB_Input!$A$5:$A$200,3)="141")*(TB_Input!$M$5:$M$200))</f>
        <v>3000</v>
      </c>
      <c r="H15" s="13">
        <f t="shared" si="0"/>
        <v>16000</v>
      </c>
      <c r="I15" s="13">
        <f>IFERROR(SUMIF(Eliminations!$B$2:$B$100,A15,Eliminations!$E$2:$E$100),0)+IFERROR(SUMIF(Eliminations!$C$2:$C$100,A15,Eliminations!$E$2:$E$100),0)</f>
        <v>0</v>
      </c>
      <c r="J15" s="13">
        <f t="shared" si="1"/>
        <v>16000</v>
      </c>
    </row>
    <row r="16" spans="1:10" x14ac:dyDescent="0.35">
      <c r="A16" t="s">
        <v>245</v>
      </c>
      <c r="B16" t="s">
        <v>246</v>
      </c>
      <c r="C16">
        <v>222</v>
      </c>
      <c r="D16">
        <v>3</v>
      </c>
      <c r="E16" s="13">
        <f>SUMPRODUCT((LEFT(TB_Input!$A$5:$A$200,3)="100")*(TB_Input!$G$5:$G$200))+SUMPRODUCT((LEFT(TB_Input!$A$5:$A$200,3)="142")*(TB_Input!$G$5:$G$200))</f>
        <v>15500</v>
      </c>
      <c r="F16" s="13">
        <f>SUMPRODUCT((LEFT(TB_Input!$A$5:$A$200,3)="100")*(TB_Input!$J$5:$J$200))+SUMPRODUCT((LEFT(TB_Input!$A$5:$A$200,3)="142")*(TB_Input!$J$5:$J$200))</f>
        <v>2100</v>
      </c>
      <c r="G16" s="13">
        <f>SUMPRODUCT((LEFT(TB_Input!$A$5:$A$200,3)="100")*(TB_Input!$M$5:$M$200))+SUMPRODUCT((LEFT(TB_Input!$A$5:$A$200,3)="142")*(TB_Input!$M$5:$M$200))</f>
        <v>1050</v>
      </c>
      <c r="H16" s="13">
        <f t="shared" si="0"/>
        <v>18650</v>
      </c>
      <c r="I16" s="13">
        <f>IFERROR(SUMIF(Eliminations!$B$2:$B$100,A16,Eliminations!$E$2:$E$100),0)+IFERROR(SUMIF(Eliminations!$C$2:$C$100,A16,Eliminations!$E$2:$E$100),0)</f>
        <v>0</v>
      </c>
      <c r="J16" s="13">
        <f t="shared" si="1"/>
        <v>18650</v>
      </c>
    </row>
    <row r="17" spans="1:10" x14ac:dyDescent="0.35">
      <c r="A17" s="10" t="s">
        <v>249</v>
      </c>
      <c r="B17" s="10" t="s">
        <v>250</v>
      </c>
      <c r="C17" s="10">
        <v>2000</v>
      </c>
      <c r="D17">
        <v>0</v>
      </c>
      <c r="E17" s="14">
        <f>E18+E22+E25</f>
        <v>52500</v>
      </c>
      <c r="F17" s="14">
        <f>F18+F22+F25</f>
        <v>85100</v>
      </c>
      <c r="G17" s="14">
        <f>G18+G22+G25</f>
        <v>36550</v>
      </c>
      <c r="H17" s="14">
        <f t="shared" si="0"/>
        <v>174150</v>
      </c>
      <c r="I17" s="14">
        <f>I18+I22+I25</f>
        <v>17000</v>
      </c>
      <c r="J17" s="14">
        <f t="shared" si="1"/>
        <v>157150</v>
      </c>
    </row>
    <row r="18" spans="1:10" x14ac:dyDescent="0.35">
      <c r="A18" t="s">
        <v>252</v>
      </c>
      <c r="B18" t="s">
        <v>70</v>
      </c>
      <c r="C18">
        <v>2100</v>
      </c>
      <c r="D18">
        <v>1</v>
      </c>
      <c r="E18" s="13">
        <f>E19+E20+E21</f>
        <v>50000</v>
      </c>
      <c r="F18" s="13">
        <f>F19+F20+F21</f>
        <v>30100</v>
      </c>
      <c r="G18" s="13">
        <f>G19+G20+G21</f>
        <v>19050</v>
      </c>
      <c r="H18" s="13">
        <f t="shared" si="0"/>
        <v>99150</v>
      </c>
      <c r="I18" s="13">
        <f>I19+I20+I21</f>
        <v>-3000</v>
      </c>
      <c r="J18" s="13">
        <f t="shared" si="1"/>
        <v>102150</v>
      </c>
    </row>
    <row r="19" spans="1:10" x14ac:dyDescent="0.35">
      <c r="A19" t="s">
        <v>253</v>
      </c>
      <c r="B19" t="s">
        <v>254</v>
      </c>
      <c r="C19">
        <v>2110</v>
      </c>
      <c r="D19">
        <v>2</v>
      </c>
      <c r="E19" s="13">
        <f>SUMPRODUCT((LEFT(TB_Input!$A$5:$A$200,3)="200")*(TB_Input!$G$5:$G$200))</f>
        <v>50000</v>
      </c>
      <c r="F19" s="13">
        <f>0</f>
        <v>0</v>
      </c>
      <c r="G19" s="13">
        <f>0</f>
        <v>0</v>
      </c>
      <c r="H19" s="13">
        <f t="shared" si="0"/>
        <v>50000</v>
      </c>
      <c r="I19" s="13">
        <f>IFERROR(SUMIF(Eliminations!$B$2:$B$100,A19,Eliminations!$E$2:$E$100),0)+IFERROR(SUMIF(Eliminations!$C$2:$C$100,A19,Eliminations!$E$2:$E$100),0)</f>
        <v>0</v>
      </c>
      <c r="J19" s="13">
        <f t="shared" si="1"/>
        <v>50000</v>
      </c>
    </row>
    <row r="20" spans="1:10" x14ac:dyDescent="0.35">
      <c r="A20" t="s">
        <v>257</v>
      </c>
      <c r="B20" t="s">
        <v>258</v>
      </c>
      <c r="C20">
        <v>2120</v>
      </c>
      <c r="D20">
        <v>2</v>
      </c>
      <c r="E20" s="13">
        <f>E2-E19-E21-E22-E25</f>
        <v>0</v>
      </c>
      <c r="F20" s="13">
        <f>F2-F19-F21-F22-F25</f>
        <v>30100</v>
      </c>
      <c r="G20" s="13">
        <f>G2-G19-G21-G22-G25</f>
        <v>11430</v>
      </c>
      <c r="H20" s="13">
        <f t="shared" si="0"/>
        <v>41530</v>
      </c>
      <c r="I20" s="13">
        <f>I2-I19-I21-I22-I25</f>
        <v>-3000</v>
      </c>
      <c r="J20" s="13">
        <f t="shared" si="1"/>
        <v>44530</v>
      </c>
    </row>
    <row r="21" spans="1:10" x14ac:dyDescent="0.35">
      <c r="A21" t="s">
        <v>261</v>
      </c>
      <c r="B21" t="s">
        <v>262</v>
      </c>
      <c r="C21">
        <v>2130</v>
      </c>
      <c r="D21">
        <v>2</v>
      </c>
      <c r="E21" s="13">
        <f>0</f>
        <v>0</v>
      </c>
      <c r="F21" s="13">
        <f>0</f>
        <v>0</v>
      </c>
      <c r="G21" s="13">
        <f>IFERROR((G2-G19-G22-G25)*(1-INDEX(Entity_Master!$E$2:$E$20,MATCH("E003",Entity_Master!$A$2:$A$20,0))),0)</f>
        <v>7620</v>
      </c>
      <c r="H21" s="13">
        <f t="shared" si="0"/>
        <v>7620</v>
      </c>
      <c r="I21" s="13">
        <f>IFERROR(SUMIF(Eliminations!$B$2:$B$100,A21,Eliminations!$E$2:$E$100),0)+IFERROR(SUMIF(Eliminations!$C$2:$C$100,A21,Eliminations!$E$2:$E$100),0)</f>
        <v>0</v>
      </c>
      <c r="J21" s="13">
        <f t="shared" si="1"/>
        <v>7620</v>
      </c>
    </row>
    <row r="22" spans="1:10" x14ac:dyDescent="0.35">
      <c r="A22" t="s">
        <v>265</v>
      </c>
      <c r="B22" t="s">
        <v>266</v>
      </c>
      <c r="C22">
        <v>2200</v>
      </c>
      <c r="D22">
        <v>1</v>
      </c>
      <c r="E22" s="13">
        <f t="shared" ref="E22:G23" si="2">E23</f>
        <v>0</v>
      </c>
      <c r="F22" s="13">
        <f t="shared" si="2"/>
        <v>30000</v>
      </c>
      <c r="G22" s="13">
        <f t="shared" si="2"/>
        <v>15000</v>
      </c>
      <c r="H22" s="13">
        <f t="shared" si="0"/>
        <v>45000</v>
      </c>
      <c r="I22" s="13">
        <f>I23</f>
        <v>0</v>
      </c>
      <c r="J22" s="13">
        <f t="shared" si="1"/>
        <v>45000</v>
      </c>
    </row>
    <row r="23" spans="1:10" x14ac:dyDescent="0.35">
      <c r="A23" t="s">
        <v>268</v>
      </c>
      <c r="B23" t="s">
        <v>269</v>
      </c>
      <c r="C23">
        <v>2210</v>
      </c>
      <c r="D23">
        <v>2</v>
      </c>
      <c r="E23" s="13">
        <f t="shared" si="2"/>
        <v>0</v>
      </c>
      <c r="F23" s="13">
        <f t="shared" si="2"/>
        <v>30000</v>
      </c>
      <c r="G23" s="13">
        <f t="shared" si="2"/>
        <v>15000</v>
      </c>
      <c r="H23" s="13">
        <f t="shared" si="0"/>
        <v>45000</v>
      </c>
      <c r="I23" s="13">
        <f>I24</f>
        <v>0</v>
      </c>
      <c r="J23" s="13">
        <f t="shared" si="1"/>
        <v>45000</v>
      </c>
    </row>
    <row r="24" spans="1:10" x14ac:dyDescent="0.35">
      <c r="A24" t="s">
        <v>270</v>
      </c>
      <c r="B24" t="s">
        <v>271</v>
      </c>
      <c r="C24">
        <v>2211</v>
      </c>
      <c r="D24">
        <v>3</v>
      </c>
      <c r="E24" s="13">
        <f>SUMPRODUCT((LEFT(TB_Input!$A$5:$A$200,3)="300")*(TB_Input!$G$5:$G$200))</f>
        <v>0</v>
      </c>
      <c r="F24" s="13">
        <f>SUMPRODUCT((LEFT(TB_Input!$A$5:$A$200,3)="300")*(TB_Input!$J$5:$J$200))</f>
        <v>30000</v>
      </c>
      <c r="G24" s="13">
        <f>SUMPRODUCT((LEFT(TB_Input!$A$5:$A$200,3)="300")*(TB_Input!$M$5:$M$200))</f>
        <v>15000</v>
      </c>
      <c r="H24" s="13">
        <f t="shared" si="0"/>
        <v>45000</v>
      </c>
      <c r="I24" s="13">
        <f>IFERROR(SUMIF(Eliminations!$B$2:$B$100,A24,Eliminations!$E$2:$E$100),0)+IFERROR(SUMIF(Eliminations!$C$2:$C$100,A24,Eliminations!$E$2:$E$100),0)</f>
        <v>0</v>
      </c>
      <c r="J24" s="13">
        <f t="shared" si="1"/>
        <v>45000</v>
      </c>
    </row>
    <row r="25" spans="1:10" x14ac:dyDescent="0.35">
      <c r="A25" t="s">
        <v>274</v>
      </c>
      <c r="B25" t="s">
        <v>275</v>
      </c>
      <c r="C25">
        <v>2300</v>
      </c>
      <c r="D25">
        <v>1</v>
      </c>
      <c r="E25" s="13">
        <f>E26</f>
        <v>2500</v>
      </c>
      <c r="F25" s="13">
        <f>F26</f>
        <v>25000</v>
      </c>
      <c r="G25" s="13">
        <f>G26</f>
        <v>2500</v>
      </c>
      <c r="H25" s="13">
        <f t="shared" si="0"/>
        <v>30000</v>
      </c>
      <c r="I25" s="13">
        <f>I26</f>
        <v>20000</v>
      </c>
      <c r="J25" s="13">
        <f t="shared" si="1"/>
        <v>10000</v>
      </c>
    </row>
    <row r="26" spans="1:10" x14ac:dyDescent="0.35">
      <c r="A26" t="s">
        <v>276</v>
      </c>
      <c r="B26" t="s">
        <v>277</v>
      </c>
      <c r="C26">
        <v>2310</v>
      </c>
      <c r="D26">
        <v>2</v>
      </c>
      <c r="E26" s="13">
        <f>E27+E28</f>
        <v>2500</v>
      </c>
      <c r="F26" s="13">
        <f>F27+F28</f>
        <v>25000</v>
      </c>
      <c r="G26" s="13">
        <f>G27+G28</f>
        <v>2500</v>
      </c>
      <c r="H26" s="13">
        <f t="shared" si="0"/>
        <v>30000</v>
      </c>
      <c r="I26" s="13">
        <f>I27+I28</f>
        <v>20000</v>
      </c>
      <c r="J26" s="13">
        <f t="shared" si="1"/>
        <v>10000</v>
      </c>
    </row>
    <row r="27" spans="1:10" x14ac:dyDescent="0.35">
      <c r="A27" t="s">
        <v>278</v>
      </c>
      <c r="B27" t="s">
        <v>279</v>
      </c>
      <c r="C27">
        <v>2311</v>
      </c>
      <c r="D27">
        <v>3</v>
      </c>
      <c r="E27" s="13">
        <f>SUMPRODUCT((LEFT(TB_Input!$A$5:$A$200,3)="302")*(TB_Input!$G$5:$G$200))+SUMPRODUCT((LEFT(TB_Input!$A$5:$A$200,3)="400")*(TB_Input!$G$5:$G$200))</f>
        <v>0</v>
      </c>
      <c r="F27" s="13">
        <f>SUMPRODUCT((LEFT(TB_Input!$A$5:$A$200,3)="302")*(TB_Input!$J$5:$J$200))+SUMPRODUCT((LEFT(TB_Input!$A$5:$A$200,3)="400")*(TB_Input!$J$5:$J$200))</f>
        <v>20000</v>
      </c>
      <c r="G27" s="13">
        <f>SUMPRODUCT((LEFT(TB_Input!$A$5:$A$200,3)="302")*(TB_Input!$M$5:$M$200))+SUMPRODUCT((LEFT(TB_Input!$A$5:$A$200,3)="400")*(TB_Input!$M$5:$M$200))</f>
        <v>0</v>
      </c>
      <c r="H27" s="13">
        <f t="shared" si="0"/>
        <v>20000</v>
      </c>
      <c r="I27" s="13">
        <f>IFERROR(SUMIF(Eliminations!$B$2:$B$100,A27,Eliminations!$E$2:$E$100),0)+IFERROR(SUMIF(Eliminations!$C$2:$C$100,A27,Eliminations!$E$2:$E$100),0)</f>
        <v>20000</v>
      </c>
      <c r="J27" s="13">
        <f t="shared" si="1"/>
        <v>0</v>
      </c>
    </row>
    <row r="28" spans="1:10" x14ac:dyDescent="0.35">
      <c r="A28" t="s">
        <v>282</v>
      </c>
      <c r="B28" t="s">
        <v>283</v>
      </c>
      <c r="C28">
        <v>2313</v>
      </c>
      <c r="D28">
        <v>3</v>
      </c>
      <c r="E28" s="13">
        <f>SUMPRODUCT((LEFT(TB_Input!$A$5:$A$200,3)="402")*(TB_Input!$G$5:$G$200))</f>
        <v>2500</v>
      </c>
      <c r="F28" s="13">
        <f>SUMPRODUCT((LEFT(TB_Input!$A$5:$A$200,3)="402")*(TB_Input!$J$5:$J$200))</f>
        <v>5000</v>
      </c>
      <c r="G28" s="13">
        <f>SUMPRODUCT((LEFT(TB_Input!$A$5:$A$200,3)="402")*(TB_Input!$M$5:$M$200))</f>
        <v>2500</v>
      </c>
      <c r="H28" s="13">
        <f t="shared" si="0"/>
        <v>10000</v>
      </c>
      <c r="I28" s="13">
        <f>IFERROR(SUMIF(Eliminations!$B$2:$B$100,A28,Eliminations!$E$2:$E$100),0)+IFERROR(SUMIF(Eliminations!$C$2:$C$100,A28,Eliminations!$E$2:$E$100),0)</f>
        <v>0</v>
      </c>
      <c r="J28" s="13">
        <f t="shared" si="1"/>
        <v>10000</v>
      </c>
    </row>
  </sheetData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DA0DD"/>
  </sheetPr>
  <dimension ref="A1:L2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5" customWidth="1"/>
    <col min="2" max="2" width="40" customWidth="1"/>
    <col min="3" max="4" width="12" customWidth="1"/>
    <col min="5" max="7" width="15" customWidth="1"/>
    <col min="8" max="10" width="18" customWidth="1"/>
    <col min="11" max="12" width="15" customWidth="1"/>
  </cols>
  <sheetData>
    <row r="1" spans="1:12" x14ac:dyDescent="0.35">
      <c r="A1" s="23" t="s">
        <v>180</v>
      </c>
      <c r="B1" s="23" t="s">
        <v>181</v>
      </c>
      <c r="C1" s="23" t="s">
        <v>184</v>
      </c>
      <c r="D1" s="23" t="s">
        <v>185</v>
      </c>
      <c r="E1" s="23" t="s">
        <v>487</v>
      </c>
      <c r="F1" s="23" t="s">
        <v>488</v>
      </c>
      <c r="G1" s="23" t="s">
        <v>489</v>
      </c>
      <c r="H1" s="23" t="s">
        <v>490</v>
      </c>
      <c r="I1" s="23" t="s">
        <v>491</v>
      </c>
      <c r="J1" s="23" t="s">
        <v>492</v>
      </c>
      <c r="K1" s="23" t="s">
        <v>493</v>
      </c>
      <c r="L1" s="23" t="s">
        <v>494</v>
      </c>
    </row>
    <row r="2" spans="1:12" x14ac:dyDescent="0.35">
      <c r="A2" s="10" t="s">
        <v>287</v>
      </c>
      <c r="B2" s="10" t="s">
        <v>288</v>
      </c>
      <c r="C2" s="10">
        <v>1000</v>
      </c>
      <c r="D2">
        <v>0</v>
      </c>
      <c r="E2" s="14">
        <f>E3+E9</f>
        <v>35000</v>
      </c>
      <c r="F2" s="14">
        <f>F3+F9</f>
        <v>12000</v>
      </c>
      <c r="G2" s="14">
        <f>G3+G9</f>
        <v>6000</v>
      </c>
      <c r="H2" s="14">
        <f t="shared" ref="H2:H25" si="0">SUM(E2:G2)</f>
        <v>53000</v>
      </c>
      <c r="I2" s="14">
        <f>I3+I9</f>
        <v>30200</v>
      </c>
      <c r="J2" s="14">
        <f t="shared" ref="J2:J25" si="1">H2-I2</f>
        <v>22800</v>
      </c>
      <c r="K2" s="13">
        <f>IFERROR(G2*(1-INDEX(Entity_Master!$E$2:$E$20,MATCH("E003",Entity_Master!$A$2:$A$20,0))),0)</f>
        <v>2400</v>
      </c>
      <c r="L2" s="14">
        <f t="shared" ref="L2:L25" si="2">J2-K2</f>
        <v>20400</v>
      </c>
    </row>
    <row r="3" spans="1:12" x14ac:dyDescent="0.35">
      <c r="A3" t="s">
        <v>290</v>
      </c>
      <c r="B3" t="s">
        <v>291</v>
      </c>
      <c r="C3">
        <v>100</v>
      </c>
      <c r="D3">
        <v>1</v>
      </c>
      <c r="E3" s="13">
        <f>E4+E5+E6+E7+E8</f>
        <v>35000</v>
      </c>
      <c r="F3" s="13">
        <f>F4+F5+F6+F7+F8</f>
        <v>12000</v>
      </c>
      <c r="G3" s="13">
        <f>G4+G5+G6+G7+G8</f>
        <v>6000</v>
      </c>
      <c r="H3" s="13">
        <f t="shared" si="0"/>
        <v>53000</v>
      </c>
      <c r="I3" s="13">
        <f>I4+I5+I6+I7+I8</f>
        <v>30000</v>
      </c>
      <c r="J3" s="13">
        <f t="shared" si="1"/>
        <v>23000</v>
      </c>
      <c r="K3" s="13">
        <f>IFERROR(G3*(1-INDEX(Entity_Master!$E$2:$E$20,MATCH("E003",Entity_Master!$A$2:$A$20,0))),0)</f>
        <v>2400</v>
      </c>
      <c r="L3" s="13">
        <f t="shared" si="2"/>
        <v>20600</v>
      </c>
    </row>
    <row r="4" spans="1:12" x14ac:dyDescent="0.35">
      <c r="A4" t="s">
        <v>293</v>
      </c>
      <c r="B4" t="s">
        <v>294</v>
      </c>
      <c r="C4">
        <v>110</v>
      </c>
      <c r="D4">
        <v>2</v>
      </c>
      <c r="E4" s="13">
        <f>SUMPRODUCT((LEFT(TB_Input!$A$5:$A$200,3)="500")*(TB_Input!$G$5:$G$200))</f>
        <v>0</v>
      </c>
      <c r="F4" s="13">
        <f>SUMPRODUCT((LEFT(TB_Input!$A$5:$A$200,3)="500")*(TB_Input!$J$5:$J$200))</f>
        <v>10000</v>
      </c>
      <c r="G4" s="13">
        <f>SUMPRODUCT((LEFT(TB_Input!$A$5:$A$200,3)="500")*(TB_Input!$M$5:$M$200))</f>
        <v>5000</v>
      </c>
      <c r="H4" s="13">
        <f t="shared" si="0"/>
        <v>15000</v>
      </c>
      <c r="I4" s="13">
        <f>IFERROR(SUMIF(Eliminations!$B$2:$B$100,A4,Eliminations!$E$2:$E$100),0)+IFERROR(SUMIF(Eliminations!$C$2:$C$100,A4,Eliminations!$E$2:$E$100),0)</f>
        <v>0</v>
      </c>
      <c r="J4" s="13">
        <f t="shared" si="1"/>
        <v>15000</v>
      </c>
      <c r="K4" s="13">
        <f>IFERROR(G4*(1-INDEX(Entity_Master!$E$2:$E$20,MATCH("E003",Entity_Master!$A$2:$A$20,0))),0)</f>
        <v>2000</v>
      </c>
      <c r="L4" s="13">
        <f t="shared" si="2"/>
        <v>13000</v>
      </c>
    </row>
    <row r="5" spans="1:12" x14ac:dyDescent="0.35">
      <c r="A5" t="s">
        <v>296</v>
      </c>
      <c r="B5" t="s">
        <v>297</v>
      </c>
      <c r="C5">
        <v>120</v>
      </c>
      <c r="D5">
        <v>2</v>
      </c>
      <c r="E5" s="13">
        <f>SUMPRODUCT((LEFT(TB_Input!$A$5:$A$200,3)="501")*(TB_Input!$G$5:$G$200))</f>
        <v>5000</v>
      </c>
      <c r="F5" s="13">
        <f>SUMPRODUCT((LEFT(TB_Input!$A$5:$A$200,3)="501")*(TB_Input!$J$5:$J$200))</f>
        <v>2000</v>
      </c>
      <c r="G5" s="13">
        <f>SUMPRODUCT((LEFT(TB_Input!$A$5:$A$200,3)="501")*(TB_Input!$M$5:$M$200))</f>
        <v>1000</v>
      </c>
      <c r="H5" s="13">
        <f t="shared" si="0"/>
        <v>8000</v>
      </c>
      <c r="I5" s="13">
        <f>IFERROR(SUMIF(Eliminations!$B$2:$B$100,A5,Eliminations!$E$2:$E$100),0)+IFERROR(SUMIF(Eliminations!$C$2:$C$100,A5,Eliminations!$E$2:$E$100),0)</f>
        <v>0</v>
      </c>
      <c r="J5" s="13">
        <f t="shared" si="1"/>
        <v>8000</v>
      </c>
      <c r="K5" s="13">
        <f>IFERROR(G5*(1-INDEX(Entity_Master!$E$2:$E$20,MATCH("E003",Entity_Master!$A$2:$A$20,0))),0)</f>
        <v>400</v>
      </c>
      <c r="L5" s="13">
        <f t="shared" si="2"/>
        <v>7600</v>
      </c>
    </row>
    <row r="6" spans="1:12" x14ac:dyDescent="0.35">
      <c r="A6" t="s">
        <v>299</v>
      </c>
      <c r="B6" t="s">
        <v>300</v>
      </c>
      <c r="C6">
        <v>140</v>
      </c>
      <c r="D6">
        <v>2</v>
      </c>
      <c r="E6" s="13">
        <f>SUMPRODUCT((LEFT(TB_Input!$A$5:$A$200,3)="510")*(TB_Input!$G$5:$G$200))</f>
        <v>30000</v>
      </c>
      <c r="F6" s="13">
        <f>SUMPRODUCT((LEFT(TB_Input!$A$5:$A$200,3)="510")*(TB_Input!$J$5:$J$200))</f>
        <v>0</v>
      </c>
      <c r="G6" s="13">
        <f>SUMPRODUCT((LEFT(TB_Input!$A$5:$A$200,3)="510")*(TB_Input!$M$5:$M$200))</f>
        <v>0</v>
      </c>
      <c r="H6" s="13">
        <f t="shared" si="0"/>
        <v>30000</v>
      </c>
      <c r="I6" s="13">
        <f>IFERROR(SUMIF(Eliminations!$B$2:$B$100,A6,Eliminations!$E$2:$E$100),0)+IFERROR(SUMIF(Eliminations!$C$2:$C$100,A6,Eliminations!$E$2:$E$100),0)</f>
        <v>30000</v>
      </c>
      <c r="J6" s="13">
        <f t="shared" si="1"/>
        <v>0</v>
      </c>
      <c r="K6" s="13">
        <f>IFERROR(G6*(1-INDEX(Entity_Master!$E$2:$E$20,MATCH("E003",Entity_Master!$A$2:$A$20,0))),0)</f>
        <v>0</v>
      </c>
      <c r="L6" s="13">
        <f t="shared" si="2"/>
        <v>0</v>
      </c>
    </row>
    <row r="7" spans="1:12" x14ac:dyDescent="0.35">
      <c r="A7" t="s">
        <v>302</v>
      </c>
      <c r="B7" t="s">
        <v>303</v>
      </c>
      <c r="C7">
        <v>150</v>
      </c>
      <c r="D7">
        <v>2</v>
      </c>
      <c r="E7" s="13">
        <f>SUMPRODUCT((LEFT(TB_Input!$A$5:$A$200,3)="520")*(TB_Input!$G$5:$G$200))</f>
        <v>0</v>
      </c>
      <c r="F7" s="13">
        <f>SUMPRODUCT((LEFT(TB_Input!$A$5:$A$200,3)="520")*(TB_Input!$J$5:$J$200))</f>
        <v>0</v>
      </c>
      <c r="G7" s="13">
        <f>SUMPRODUCT((LEFT(TB_Input!$A$5:$A$200,3)="520")*(TB_Input!$M$5:$M$200))</f>
        <v>0</v>
      </c>
      <c r="H7" s="13">
        <f t="shared" si="0"/>
        <v>0</v>
      </c>
      <c r="I7" s="13">
        <f>IFERROR(SUMIF(Eliminations!$B$2:$B$100,A7,Eliminations!$E$2:$E$100),0)+IFERROR(SUMIF(Eliminations!$C$2:$C$100,A7,Eliminations!$E$2:$E$100),0)</f>
        <v>0</v>
      </c>
      <c r="J7" s="13">
        <f t="shared" si="1"/>
        <v>0</v>
      </c>
      <c r="K7" s="13">
        <f>IFERROR(G7*(1-INDEX(Entity_Master!$E$2:$E$20,MATCH("E003",Entity_Master!$A$2:$A$20,0))),0)</f>
        <v>0</v>
      </c>
      <c r="L7" s="13">
        <f t="shared" si="2"/>
        <v>0</v>
      </c>
    </row>
    <row r="8" spans="1:12" x14ac:dyDescent="0.35">
      <c r="A8" t="s">
        <v>305</v>
      </c>
      <c r="B8" t="s">
        <v>306</v>
      </c>
      <c r="C8">
        <v>170</v>
      </c>
      <c r="D8">
        <v>2</v>
      </c>
      <c r="E8" s="13">
        <f>SUMPRODUCT((LEFT(TB_Input!$A$5:$A$200,3)="540")*(TB_Input!$G$5:$G$200))</f>
        <v>0</v>
      </c>
      <c r="F8" s="13">
        <f>SUMPRODUCT((LEFT(TB_Input!$A$5:$A$200,3)="540")*(TB_Input!$J$5:$J$200))</f>
        <v>0</v>
      </c>
      <c r="G8" s="13">
        <f>SUMPRODUCT((LEFT(TB_Input!$A$5:$A$200,3)="540")*(TB_Input!$M$5:$M$200))</f>
        <v>0</v>
      </c>
      <c r="H8" s="13">
        <f t="shared" si="0"/>
        <v>0</v>
      </c>
      <c r="I8" s="13">
        <f>IFERROR(SUMIF(Eliminations!$B$2:$B$100,A8,Eliminations!$E$2:$E$100),0)+IFERROR(SUMIF(Eliminations!$C$2:$C$100,A8,Eliminations!$E$2:$E$100),0)</f>
        <v>0</v>
      </c>
      <c r="J8" s="13">
        <f t="shared" si="1"/>
        <v>0</v>
      </c>
      <c r="K8" s="13">
        <f>IFERROR(G8*(1-INDEX(Entity_Master!$E$2:$E$20,MATCH("E003",Entity_Master!$A$2:$A$20,0))),0)</f>
        <v>0</v>
      </c>
      <c r="L8" s="13">
        <f t="shared" si="2"/>
        <v>0</v>
      </c>
    </row>
    <row r="9" spans="1:12" x14ac:dyDescent="0.35">
      <c r="A9" t="s">
        <v>308</v>
      </c>
      <c r="B9" t="s">
        <v>309</v>
      </c>
      <c r="C9">
        <v>200</v>
      </c>
      <c r="D9">
        <v>1</v>
      </c>
      <c r="E9" s="13">
        <f>E10+E11</f>
        <v>0</v>
      </c>
      <c r="F9" s="13">
        <f>F10+F11</f>
        <v>0</v>
      </c>
      <c r="G9" s="13">
        <f>G10+G11</f>
        <v>0</v>
      </c>
      <c r="H9" s="13">
        <f t="shared" si="0"/>
        <v>0</v>
      </c>
      <c r="I9" s="13">
        <f>I10+I11</f>
        <v>200</v>
      </c>
      <c r="J9" s="13">
        <f t="shared" si="1"/>
        <v>-200</v>
      </c>
      <c r="K9" s="13">
        <f>IFERROR(G9*(1-INDEX(Entity_Master!$E$2:$E$20,MATCH("E003",Entity_Master!$A$2:$A$20,0))),0)</f>
        <v>0</v>
      </c>
      <c r="L9" s="13">
        <f t="shared" si="2"/>
        <v>-200</v>
      </c>
    </row>
    <row r="10" spans="1:12" x14ac:dyDescent="0.35">
      <c r="A10" t="s">
        <v>311</v>
      </c>
      <c r="B10" t="s">
        <v>312</v>
      </c>
      <c r="C10">
        <v>210</v>
      </c>
      <c r="D10">
        <v>2</v>
      </c>
      <c r="E10" s="13">
        <f>SUMPRODUCT((LEFT(TB_Input!$A$5:$A$200,3)="550")*(TB_Input!$G$5:$G$200))</f>
        <v>0</v>
      </c>
      <c r="F10" s="13">
        <f>SUMPRODUCT((LEFT(TB_Input!$A$5:$A$200,3)="550")*(TB_Input!$J$5:$J$200))</f>
        <v>0</v>
      </c>
      <c r="G10" s="13">
        <f>SUMPRODUCT((LEFT(TB_Input!$A$5:$A$200,3)="550")*(TB_Input!$M$5:$M$200))</f>
        <v>0</v>
      </c>
      <c r="H10" s="13">
        <f t="shared" si="0"/>
        <v>0</v>
      </c>
      <c r="I10" s="13">
        <f>IFERROR(SUMIF(Eliminations!$B$2:$B$100,A10,Eliminations!$E$2:$E$100),0)+IFERROR(SUMIF(Eliminations!$C$2:$C$100,A10,Eliminations!$E$2:$E$100),0)</f>
        <v>200</v>
      </c>
      <c r="J10" s="13">
        <f t="shared" si="1"/>
        <v>-200</v>
      </c>
      <c r="K10" s="13">
        <f>IFERROR(G10*(1-INDEX(Entity_Master!$E$2:$E$20,MATCH("E003",Entity_Master!$A$2:$A$20,0))),0)</f>
        <v>0</v>
      </c>
      <c r="L10" s="13">
        <f t="shared" si="2"/>
        <v>-200</v>
      </c>
    </row>
    <row r="11" spans="1:12" x14ac:dyDescent="0.35">
      <c r="A11" t="s">
        <v>314</v>
      </c>
      <c r="B11" t="s">
        <v>315</v>
      </c>
      <c r="C11">
        <v>220</v>
      </c>
      <c r="D11">
        <v>2</v>
      </c>
      <c r="E11" s="13">
        <f>SUMPRODUCT((LEFT(TB_Input!$A$5:$A$200,3)="551")*(TB_Input!$G$5:$G$200))</f>
        <v>0</v>
      </c>
      <c r="F11" s="13">
        <f>SUMPRODUCT((LEFT(TB_Input!$A$5:$A$200,3)="551")*(TB_Input!$J$5:$J$200))</f>
        <v>0</v>
      </c>
      <c r="G11" s="13">
        <f>SUMPRODUCT((LEFT(TB_Input!$A$5:$A$200,3)="551")*(TB_Input!$M$5:$M$200))</f>
        <v>0</v>
      </c>
      <c r="H11" s="13">
        <f t="shared" si="0"/>
        <v>0</v>
      </c>
      <c r="I11" s="13">
        <f>IFERROR(SUMIF(Eliminations!$B$2:$B$100,A11,Eliminations!$E$2:$E$100),0)+IFERROR(SUMIF(Eliminations!$C$2:$C$100,A11,Eliminations!$E$2:$E$100),0)</f>
        <v>0</v>
      </c>
      <c r="J11" s="13">
        <f t="shared" si="1"/>
        <v>0</v>
      </c>
      <c r="K11" s="13">
        <f>IFERROR(G11*(1-INDEX(Entity_Master!$E$2:$E$20,MATCH("E003",Entity_Master!$A$2:$A$20,0))),0)</f>
        <v>0</v>
      </c>
      <c r="L11" s="13">
        <f t="shared" si="2"/>
        <v>0</v>
      </c>
    </row>
    <row r="12" spans="1:12" x14ac:dyDescent="0.35">
      <c r="A12" s="10" t="s">
        <v>317</v>
      </c>
      <c r="B12" s="10" t="s">
        <v>318</v>
      </c>
      <c r="C12" s="10">
        <v>2000</v>
      </c>
      <c r="D12">
        <v>0</v>
      </c>
      <c r="E12" s="14">
        <f>E13+E14+E15+E16+E17+E18+E19+E20</f>
        <v>26100</v>
      </c>
      <c r="F12" s="14">
        <f>F13+F14+F15+F16+F17+F18+F19+F20</f>
        <v>8500</v>
      </c>
      <c r="G12" s="14">
        <f>G13+G14+G15+G16+G17+G18+G19+G20</f>
        <v>4300</v>
      </c>
      <c r="H12" s="14">
        <f t="shared" si="0"/>
        <v>38900</v>
      </c>
      <c r="I12" s="14">
        <f>I13+I14+I15+I16+I17+I18+I19+I20</f>
        <v>200</v>
      </c>
      <c r="J12" s="14">
        <f t="shared" si="1"/>
        <v>38700</v>
      </c>
      <c r="K12" s="13">
        <f>IFERROR(G12*(1-INDEX(Entity_Master!$E$2:$E$20,MATCH("E003",Entity_Master!$A$2:$A$20,0))),0)</f>
        <v>1720</v>
      </c>
      <c r="L12" s="14">
        <f t="shared" si="2"/>
        <v>36980</v>
      </c>
    </row>
    <row r="13" spans="1:12" x14ac:dyDescent="0.35">
      <c r="A13" t="s">
        <v>320</v>
      </c>
      <c r="B13" t="s">
        <v>321</v>
      </c>
      <c r="C13">
        <v>2100</v>
      </c>
      <c r="D13">
        <v>1</v>
      </c>
      <c r="E13" s="13">
        <f>SUMPRODUCT((LEFT(TB_Input!$A$5:$A$200,3)="600")*(TB_Input!$G$5:$G$200))</f>
        <v>0</v>
      </c>
      <c r="F13" s="13">
        <f>SUMPRODUCT((LEFT(TB_Input!$A$5:$A$200,3)="600")*(TB_Input!$J$5:$J$200))</f>
        <v>0</v>
      </c>
      <c r="G13" s="13">
        <f>SUMPRODUCT((LEFT(TB_Input!$A$5:$A$200,3)="600")*(TB_Input!$M$5:$M$200))</f>
        <v>0</v>
      </c>
      <c r="H13" s="13">
        <f t="shared" si="0"/>
        <v>0</v>
      </c>
      <c r="I13" s="13">
        <f>IFERROR(SUMIF(Eliminations!$B$2:$B$100,A13,Eliminations!$E$2:$E$100),0)+IFERROR(SUMIF(Eliminations!$C$2:$C$100,A13,Eliminations!$E$2:$E$100),0)</f>
        <v>0</v>
      </c>
      <c r="J13" s="13">
        <f t="shared" si="1"/>
        <v>0</v>
      </c>
      <c r="K13" s="13">
        <f>IFERROR(G13*(1-INDEX(Entity_Master!$E$2:$E$20,MATCH("E003",Entity_Master!$A$2:$A$20,0))),0)</f>
        <v>0</v>
      </c>
      <c r="L13" s="13">
        <f t="shared" si="2"/>
        <v>0</v>
      </c>
    </row>
    <row r="14" spans="1:12" x14ac:dyDescent="0.35">
      <c r="A14" t="s">
        <v>323</v>
      </c>
      <c r="B14" t="s">
        <v>324</v>
      </c>
      <c r="C14">
        <v>2110</v>
      </c>
      <c r="D14">
        <v>1</v>
      </c>
      <c r="E14" s="13">
        <f>SUMPRODUCT((LEFT(TB_Input!$A$5:$A$200,3)="610")*(TB_Input!$G$5:$G$200))</f>
        <v>20000</v>
      </c>
      <c r="F14" s="13">
        <f>SUMPRODUCT((LEFT(TB_Input!$A$5:$A$200,3)="610")*(TB_Input!$J$5:$J$200))</f>
        <v>0</v>
      </c>
      <c r="G14" s="13">
        <f>SUMPRODUCT((LEFT(TB_Input!$A$5:$A$200,3)="610")*(TB_Input!$M$5:$M$200))</f>
        <v>0</v>
      </c>
      <c r="H14" s="13">
        <f t="shared" si="0"/>
        <v>20000</v>
      </c>
      <c r="I14" s="13">
        <f>IFERROR(SUMIF(Eliminations!$B$2:$B$100,A14,Eliminations!$E$2:$E$100),0)+IFERROR(SUMIF(Eliminations!$C$2:$C$100,A14,Eliminations!$E$2:$E$100),0)</f>
        <v>0</v>
      </c>
      <c r="J14" s="13">
        <f t="shared" si="1"/>
        <v>20000</v>
      </c>
      <c r="K14" s="13">
        <f>IFERROR(G14*(1-INDEX(Entity_Master!$E$2:$E$20,MATCH("E003",Entity_Master!$A$2:$A$20,0))),0)</f>
        <v>0</v>
      </c>
      <c r="L14" s="13">
        <f t="shared" si="2"/>
        <v>20000</v>
      </c>
    </row>
    <row r="15" spans="1:12" x14ac:dyDescent="0.35">
      <c r="A15" t="s">
        <v>326</v>
      </c>
      <c r="B15" t="s">
        <v>327</v>
      </c>
      <c r="C15">
        <v>2120</v>
      </c>
      <c r="D15">
        <v>1</v>
      </c>
      <c r="E15" s="13">
        <f>SUMPRODUCT((LEFT(TB_Input!$A$5:$A$200,3)="620")*(TB_Input!$G$5:$G$200))</f>
        <v>0</v>
      </c>
      <c r="F15" s="13">
        <f>SUMPRODUCT((LEFT(TB_Input!$A$5:$A$200,3)="620")*(TB_Input!$J$5:$J$200))</f>
        <v>0</v>
      </c>
      <c r="G15" s="13">
        <f>SUMPRODUCT((LEFT(TB_Input!$A$5:$A$200,3)="620")*(TB_Input!$M$5:$M$200))</f>
        <v>0</v>
      </c>
      <c r="H15" s="13">
        <f t="shared" si="0"/>
        <v>0</v>
      </c>
      <c r="I15" s="13">
        <f>IFERROR(SUMIF(Eliminations!$B$2:$B$100,A15,Eliminations!$E$2:$E$100),0)+IFERROR(SUMIF(Eliminations!$C$2:$C$100,A15,Eliminations!$E$2:$E$100),0)</f>
        <v>0</v>
      </c>
      <c r="J15" s="13">
        <f t="shared" si="1"/>
        <v>0</v>
      </c>
      <c r="K15" s="13">
        <f>IFERROR(G15*(1-INDEX(Entity_Master!$E$2:$E$20,MATCH("E003",Entity_Master!$A$2:$A$20,0))),0)</f>
        <v>0</v>
      </c>
      <c r="L15" s="13">
        <f t="shared" si="2"/>
        <v>0</v>
      </c>
    </row>
    <row r="16" spans="1:12" x14ac:dyDescent="0.35">
      <c r="A16" t="s">
        <v>329</v>
      </c>
      <c r="B16" t="s">
        <v>330</v>
      </c>
      <c r="C16">
        <v>2130</v>
      </c>
      <c r="D16">
        <v>1</v>
      </c>
      <c r="E16" s="13">
        <f>SUMPRODUCT((LEFT(TB_Input!$A$5:$A$200,3)="630")*(TB_Input!$G$5:$G$200))</f>
        <v>5000</v>
      </c>
      <c r="F16" s="13">
        <f>SUMPRODUCT((LEFT(TB_Input!$A$5:$A$200,3)="630")*(TB_Input!$J$5:$J$200))</f>
        <v>500</v>
      </c>
      <c r="G16" s="13">
        <f>SUMPRODUCT((LEFT(TB_Input!$A$5:$A$200,3)="630")*(TB_Input!$M$5:$M$200))</f>
        <v>300</v>
      </c>
      <c r="H16" s="13">
        <f t="shared" si="0"/>
        <v>5800</v>
      </c>
      <c r="I16" s="13">
        <f>IFERROR(SUMIF(Eliminations!$B$2:$B$100,A16,Eliminations!$E$2:$E$100),0)+IFERROR(SUMIF(Eliminations!$C$2:$C$100,A16,Eliminations!$E$2:$E$100),0)</f>
        <v>0</v>
      </c>
      <c r="J16" s="13">
        <f t="shared" si="1"/>
        <v>5800</v>
      </c>
      <c r="K16" s="13">
        <f>IFERROR(G16*(1-INDEX(Entity_Master!$E$2:$E$20,MATCH("E003",Entity_Master!$A$2:$A$20,0))),0)</f>
        <v>120</v>
      </c>
      <c r="L16" s="13">
        <f t="shared" si="2"/>
        <v>5680</v>
      </c>
    </row>
    <row r="17" spans="1:12" x14ac:dyDescent="0.35">
      <c r="A17" t="s">
        <v>332</v>
      </c>
      <c r="B17" t="s">
        <v>333</v>
      </c>
      <c r="C17">
        <v>2140</v>
      </c>
      <c r="D17">
        <v>1</v>
      </c>
      <c r="E17" s="13">
        <f>SUMPRODUCT((LEFT(TB_Input!$A$5:$A$200,3)="640")*(TB_Input!$G$5:$G$200))</f>
        <v>100</v>
      </c>
      <c r="F17" s="13">
        <f>SUMPRODUCT((LEFT(TB_Input!$A$5:$A$200,3)="640")*(TB_Input!$J$5:$J$200))</f>
        <v>2000</v>
      </c>
      <c r="G17" s="13">
        <f>SUMPRODUCT((LEFT(TB_Input!$A$5:$A$200,3)="640")*(TB_Input!$M$5:$M$200))</f>
        <v>1000</v>
      </c>
      <c r="H17" s="13">
        <f t="shared" si="0"/>
        <v>3100</v>
      </c>
      <c r="I17" s="13">
        <f>IFERROR(SUMIF(Eliminations!$B$2:$B$100,A17,Eliminations!$E$2:$E$100),0)+IFERROR(SUMIF(Eliminations!$C$2:$C$100,A17,Eliminations!$E$2:$E$100),0)</f>
        <v>200</v>
      </c>
      <c r="J17" s="13">
        <f t="shared" si="1"/>
        <v>2900</v>
      </c>
      <c r="K17" s="13">
        <f>IFERROR(G17*(1-INDEX(Entity_Master!$E$2:$E$20,MATCH("E003",Entity_Master!$A$2:$A$20,0))),0)</f>
        <v>400</v>
      </c>
      <c r="L17" s="13">
        <f t="shared" si="2"/>
        <v>2500</v>
      </c>
    </row>
    <row r="18" spans="1:12" x14ac:dyDescent="0.35">
      <c r="A18" t="s">
        <v>335</v>
      </c>
      <c r="B18" t="s">
        <v>336</v>
      </c>
      <c r="C18">
        <v>2150</v>
      </c>
      <c r="D18">
        <v>1</v>
      </c>
      <c r="E18" s="13">
        <f>SUMPRODUCT((LEFT(TB_Input!$A$5:$A$200,3)="650")*(TB_Input!$G$5:$G$200))</f>
        <v>1000</v>
      </c>
      <c r="F18" s="13">
        <f>SUMPRODUCT((LEFT(TB_Input!$A$5:$A$200,3)="650")*(TB_Input!$J$5:$J$200))</f>
        <v>5000</v>
      </c>
      <c r="G18" s="13">
        <f>SUMPRODUCT((LEFT(TB_Input!$A$5:$A$200,3)="650")*(TB_Input!$M$5:$M$200))</f>
        <v>2500</v>
      </c>
      <c r="H18" s="13">
        <f t="shared" si="0"/>
        <v>8500</v>
      </c>
      <c r="I18" s="13">
        <f>IFERROR(SUMIF(Eliminations!$B$2:$B$100,A18,Eliminations!$E$2:$E$100),0)+IFERROR(SUMIF(Eliminations!$C$2:$C$100,A18,Eliminations!$E$2:$E$100),0)</f>
        <v>0</v>
      </c>
      <c r="J18" s="13">
        <f t="shared" si="1"/>
        <v>8500</v>
      </c>
      <c r="K18" s="13">
        <f>IFERROR(G18*(1-INDEX(Entity_Master!$E$2:$E$20,MATCH("E003",Entity_Master!$A$2:$A$20,0))),0)</f>
        <v>1000</v>
      </c>
      <c r="L18" s="13">
        <f t="shared" si="2"/>
        <v>7500</v>
      </c>
    </row>
    <row r="19" spans="1:12" x14ac:dyDescent="0.35">
      <c r="A19" t="s">
        <v>338</v>
      </c>
      <c r="B19" t="s">
        <v>339</v>
      </c>
      <c r="C19">
        <v>2160</v>
      </c>
      <c r="D19">
        <v>1</v>
      </c>
      <c r="E19" s="13">
        <f>SUMPRODUCT((LEFT(TB_Input!$A$5:$A$200,3)="660")*(TB_Input!$G$5:$G$200))</f>
        <v>0</v>
      </c>
      <c r="F19" s="13">
        <f>SUMPRODUCT((LEFT(TB_Input!$A$5:$A$200,3)="660")*(TB_Input!$J$5:$J$200))</f>
        <v>1000</v>
      </c>
      <c r="G19" s="13">
        <f>SUMPRODUCT((LEFT(TB_Input!$A$5:$A$200,3)="660")*(TB_Input!$M$5:$M$200))</f>
        <v>500</v>
      </c>
      <c r="H19" s="13">
        <f t="shared" si="0"/>
        <v>1500</v>
      </c>
      <c r="I19" s="13">
        <f>IFERROR(SUMIF(Eliminations!$B$2:$B$100,A19,Eliminations!$E$2:$E$100),0)+IFERROR(SUMIF(Eliminations!$C$2:$C$100,A19,Eliminations!$E$2:$E$100),0)</f>
        <v>0</v>
      </c>
      <c r="J19" s="13">
        <f t="shared" si="1"/>
        <v>1500</v>
      </c>
      <c r="K19" s="13">
        <f>IFERROR(G19*(1-INDEX(Entity_Master!$E$2:$E$20,MATCH("E003",Entity_Master!$A$2:$A$20,0))),0)</f>
        <v>200</v>
      </c>
      <c r="L19" s="13">
        <f t="shared" si="2"/>
        <v>1300</v>
      </c>
    </row>
    <row r="20" spans="1:12" x14ac:dyDescent="0.35">
      <c r="A20" t="s">
        <v>341</v>
      </c>
      <c r="B20" t="s">
        <v>342</v>
      </c>
      <c r="C20">
        <v>2170</v>
      </c>
      <c r="D20">
        <v>1</v>
      </c>
      <c r="E20" s="13">
        <f>SUMPRODUCT((LEFT(TB_Input!$A$5:$A$200,3)="670")*(TB_Input!$G$5:$G$200))</f>
        <v>0</v>
      </c>
      <c r="F20" s="13">
        <f>SUMPRODUCT((LEFT(TB_Input!$A$5:$A$200,3)="670")*(TB_Input!$J$5:$J$200))</f>
        <v>0</v>
      </c>
      <c r="G20" s="13">
        <f>SUMPRODUCT((LEFT(TB_Input!$A$5:$A$200,3)="670")*(TB_Input!$M$5:$M$200))</f>
        <v>0</v>
      </c>
      <c r="H20" s="13">
        <f t="shared" si="0"/>
        <v>0</v>
      </c>
      <c r="I20" s="13">
        <f>IFERROR(SUMIF(Eliminations!$B$2:$B$100,A20,Eliminations!$E$2:$E$100),0)+IFERROR(SUMIF(Eliminations!$C$2:$C$100,A20,Eliminations!$E$2:$E$100),0)</f>
        <v>0</v>
      </c>
      <c r="J20" s="13">
        <f t="shared" si="1"/>
        <v>0</v>
      </c>
      <c r="K20" s="13">
        <f>IFERROR(G20*(1-INDEX(Entity_Master!$E$2:$E$20,MATCH("E003",Entity_Master!$A$2:$A$20,0))),0)</f>
        <v>0</v>
      </c>
      <c r="L20" s="13">
        <f t="shared" si="2"/>
        <v>0</v>
      </c>
    </row>
    <row r="21" spans="1:12" x14ac:dyDescent="0.35">
      <c r="A21" t="s">
        <v>495</v>
      </c>
      <c r="B21" t="s">
        <v>21</v>
      </c>
      <c r="C21" t="s">
        <v>496</v>
      </c>
      <c r="D21">
        <v>3</v>
      </c>
      <c r="E21">
        <f>E22+E17+E18</f>
        <v>10000</v>
      </c>
      <c r="F21">
        <f>F22+F17+F18</f>
        <v>10500</v>
      </c>
      <c r="G21">
        <f>G22+G17+G18</f>
        <v>5200</v>
      </c>
      <c r="H21">
        <f t="shared" si="0"/>
        <v>25700</v>
      </c>
      <c r="I21">
        <f>I22+I17+I18</f>
        <v>30200</v>
      </c>
      <c r="J21">
        <f t="shared" si="1"/>
        <v>-4500</v>
      </c>
      <c r="K21">
        <f>IFERROR(G21*(1-INDEX(Entity_Master!$E$2:$E$20,MATCH("E003",Entity_Master!$A$2:$A$20,0))),0)</f>
        <v>2080</v>
      </c>
      <c r="L21">
        <f t="shared" si="2"/>
        <v>-6580</v>
      </c>
    </row>
    <row r="22" spans="1:12" x14ac:dyDescent="0.35">
      <c r="A22" s="10" t="s">
        <v>344</v>
      </c>
      <c r="B22" s="10" t="s">
        <v>22</v>
      </c>
      <c r="C22" s="10">
        <v>3100</v>
      </c>
      <c r="D22" s="10">
        <v>1</v>
      </c>
      <c r="E22" s="14">
        <f>E2-E12</f>
        <v>8900</v>
      </c>
      <c r="F22" s="14">
        <f>F2-F12</f>
        <v>3500</v>
      </c>
      <c r="G22" s="14">
        <f>G2-G12</f>
        <v>1700</v>
      </c>
      <c r="H22" s="14">
        <f t="shared" si="0"/>
        <v>14100</v>
      </c>
      <c r="I22" s="14">
        <f>I2-I12</f>
        <v>30000</v>
      </c>
      <c r="J22" s="14">
        <f t="shared" si="1"/>
        <v>-15900</v>
      </c>
      <c r="K22" s="14">
        <f>IFERROR(G22*(1-INDEX(Entity_Master!$E$2:$E$20,MATCH("E003",Entity_Master!$A$2:$A$20,0))),0)</f>
        <v>680</v>
      </c>
      <c r="L22" s="14">
        <f t="shared" si="2"/>
        <v>-16580</v>
      </c>
    </row>
    <row r="23" spans="1:12" x14ac:dyDescent="0.35">
      <c r="A23" t="s">
        <v>346</v>
      </c>
      <c r="B23" t="s">
        <v>347</v>
      </c>
      <c r="C23">
        <v>3110</v>
      </c>
      <c r="D23">
        <v>2</v>
      </c>
      <c r="E23" s="13">
        <f>SUMPRODUCT((LEFT(TB_Input!$A$5:$A$200,3)="700")*(TB_Input!$G$5:$G$200))</f>
        <v>0</v>
      </c>
      <c r="F23" s="13">
        <f>SUMPRODUCT((LEFT(TB_Input!$A$5:$A$200,3)="700")*(TB_Input!$J$5:$J$200))</f>
        <v>0</v>
      </c>
      <c r="G23" s="13">
        <f>SUMPRODUCT((LEFT(TB_Input!$A$5:$A$200,3)="700")*(TB_Input!$M$5:$M$200))</f>
        <v>0</v>
      </c>
      <c r="H23" s="13">
        <f t="shared" si="0"/>
        <v>0</v>
      </c>
      <c r="I23" s="13">
        <f>IFERROR(SUMIF(Eliminations!$B$2:$B$100,A23,Eliminations!$E$2:$E$100),0)+IFERROR(SUMIF(Eliminations!$C$2:$C$100,A23,Eliminations!$E$2:$E$100),0)</f>
        <v>0</v>
      </c>
      <c r="J23" s="13">
        <f t="shared" si="1"/>
        <v>0</v>
      </c>
      <c r="K23" s="13">
        <f>IFERROR(G23*(1-INDEX(Entity_Master!$E$2:$E$20,MATCH("E003",Entity_Master!$A$2:$A$20,0))),0)</f>
        <v>0</v>
      </c>
      <c r="L23" s="13">
        <f t="shared" si="2"/>
        <v>0</v>
      </c>
    </row>
    <row r="24" spans="1:12" x14ac:dyDescent="0.35">
      <c r="A24" t="s">
        <v>350</v>
      </c>
      <c r="B24" t="s">
        <v>351</v>
      </c>
      <c r="C24">
        <v>3120</v>
      </c>
      <c r="D24">
        <v>2</v>
      </c>
      <c r="E24" s="13">
        <f>SUMPRODUCT((LEFT(TB_Input!$A$5:$A$200,3)="701")*(TB_Input!$G$5:$G$200))</f>
        <v>0</v>
      </c>
      <c r="F24" s="13">
        <f>SUMPRODUCT((LEFT(TB_Input!$A$5:$A$200,3)="701")*(TB_Input!$J$5:$J$200))</f>
        <v>0</v>
      </c>
      <c r="G24" s="13">
        <f>SUMPRODUCT((LEFT(TB_Input!$A$5:$A$200,3)="701")*(TB_Input!$M$5:$M$200))</f>
        <v>0</v>
      </c>
      <c r="H24" s="13">
        <f t="shared" si="0"/>
        <v>0</v>
      </c>
      <c r="I24" s="13">
        <f>IFERROR(SUMIF(Eliminations!$B$2:$B$100,A24,Eliminations!$E$2:$E$100),0)+IFERROR(SUMIF(Eliminations!$C$2:$C$100,A24,Eliminations!$E$2:$E$100),0)</f>
        <v>0</v>
      </c>
      <c r="J24" s="13">
        <f t="shared" si="1"/>
        <v>0</v>
      </c>
      <c r="K24" s="13">
        <f>IFERROR(G24*(1-INDEX(Entity_Master!$E$2:$E$20,MATCH("E003",Entity_Master!$A$2:$A$20,0))),0)</f>
        <v>0</v>
      </c>
      <c r="L24" s="13">
        <f t="shared" si="2"/>
        <v>0</v>
      </c>
    </row>
    <row r="25" spans="1:12" x14ac:dyDescent="0.35">
      <c r="A25" s="10" t="s">
        <v>353</v>
      </c>
      <c r="B25" s="10" t="s">
        <v>354</v>
      </c>
      <c r="C25" s="10">
        <v>3200</v>
      </c>
      <c r="D25" s="10">
        <v>1</v>
      </c>
      <c r="E25" s="14">
        <f>E22-E23-E24</f>
        <v>8900</v>
      </c>
      <c r="F25" s="14">
        <f>F22-F23-F24</f>
        <v>3500</v>
      </c>
      <c r="G25" s="14">
        <f>G22-G23-G24</f>
        <v>1700</v>
      </c>
      <c r="H25" s="14">
        <f t="shared" si="0"/>
        <v>14100</v>
      </c>
      <c r="I25" s="14">
        <f>I22-I23-I24</f>
        <v>30000</v>
      </c>
      <c r="J25" s="14">
        <f t="shared" si="1"/>
        <v>-15900</v>
      </c>
      <c r="K25" s="14">
        <f>IFERROR(G25*(1-INDEX(Entity_Master!$E$2:$E$20,MATCH("E003",Entity_Master!$A$2:$A$20,0))),0)</f>
        <v>680</v>
      </c>
      <c r="L25" s="14">
        <f t="shared" si="2"/>
        <v>-16580</v>
      </c>
    </row>
    <row r="26" spans="1:12" x14ac:dyDescent="0.35">
      <c r="A26" t="s">
        <v>355</v>
      </c>
      <c r="B26" t="s">
        <v>356</v>
      </c>
      <c r="C26">
        <v>3300</v>
      </c>
      <c r="D26">
        <v>2</v>
      </c>
      <c r="E26" s="13">
        <f>0</f>
        <v>0</v>
      </c>
      <c r="F26" s="13">
        <f>0</f>
        <v>0</v>
      </c>
      <c r="G26" s="13">
        <f>0</f>
        <v>0</v>
      </c>
      <c r="H26" s="13">
        <f>L25</f>
        <v>-16580</v>
      </c>
      <c r="I26" s="13">
        <f>0</f>
        <v>0</v>
      </c>
      <c r="J26" s="13">
        <f>L25</f>
        <v>-16580</v>
      </c>
      <c r="K26" s="13">
        <f>0</f>
        <v>0</v>
      </c>
      <c r="L26" s="13">
        <f>J26</f>
        <v>-16580</v>
      </c>
    </row>
    <row r="27" spans="1:12" x14ac:dyDescent="0.35">
      <c r="A27" t="s">
        <v>358</v>
      </c>
      <c r="B27" t="s">
        <v>359</v>
      </c>
      <c r="C27">
        <v>3310</v>
      </c>
      <c r="D27">
        <v>2</v>
      </c>
      <c r="E27" s="13">
        <f>0</f>
        <v>0</v>
      </c>
      <c r="F27" s="13">
        <f>0</f>
        <v>0</v>
      </c>
      <c r="G27" s="13">
        <f>0</f>
        <v>0</v>
      </c>
      <c r="H27" s="13">
        <f>K25</f>
        <v>680</v>
      </c>
      <c r="I27" s="13">
        <f>0</f>
        <v>0</v>
      </c>
      <c r="J27" s="13">
        <f>K25</f>
        <v>680</v>
      </c>
      <c r="K27" s="13">
        <f>J27</f>
        <v>680</v>
      </c>
      <c r="L27" s="13">
        <f>0</f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DDA0DD"/>
  </sheetPr>
  <dimension ref="A1:C26"/>
  <sheetViews>
    <sheetView workbookViewId="0">
      <pane ySplit="1" topLeftCell="A5" activePane="bottomLeft" state="frozen"/>
      <selection pane="bottomLeft" activeCell="C5" sqref="C5"/>
    </sheetView>
  </sheetViews>
  <sheetFormatPr defaultRowHeight="14.5" x14ac:dyDescent="0.35"/>
  <cols>
    <col min="1" max="1" width="15" customWidth="1"/>
    <col min="2" max="2" width="50" customWidth="1"/>
    <col min="3" max="3" width="18" customWidth="1"/>
  </cols>
  <sheetData>
    <row r="1" spans="1:3" x14ac:dyDescent="0.35">
      <c r="A1" s="23" t="s">
        <v>360</v>
      </c>
      <c r="B1" s="23" t="s">
        <v>361</v>
      </c>
      <c r="C1" s="23" t="s">
        <v>497</v>
      </c>
    </row>
    <row r="2" spans="1:3" x14ac:dyDescent="0.35">
      <c r="A2" t="s">
        <v>366</v>
      </c>
      <c r="B2" t="s">
        <v>367</v>
      </c>
      <c r="C2" s="13"/>
    </row>
    <row r="3" spans="1:3" x14ac:dyDescent="0.35">
      <c r="A3" t="s">
        <v>369</v>
      </c>
      <c r="B3" t="s">
        <v>22</v>
      </c>
      <c r="C3" s="13">
        <f>IFERROR(Consolidation_PL!J22,0)</f>
        <v>-15900</v>
      </c>
    </row>
    <row r="4" spans="1:3" x14ac:dyDescent="0.35">
      <c r="A4" t="s">
        <v>372</v>
      </c>
      <c r="B4" t="s">
        <v>373</v>
      </c>
      <c r="C4" s="13"/>
    </row>
    <row r="5" spans="1:3" x14ac:dyDescent="0.35">
      <c r="A5" t="s">
        <v>375</v>
      </c>
      <c r="B5" t="s">
        <v>336</v>
      </c>
      <c r="C5" s="13">
        <f>IFERROR(Consolidation_PL!J18,0)</f>
        <v>8500</v>
      </c>
    </row>
    <row r="6" spans="1:3" x14ac:dyDescent="0.35">
      <c r="A6" t="s">
        <v>376</v>
      </c>
      <c r="B6" t="s">
        <v>333</v>
      </c>
      <c r="C6" s="13">
        <f>IFERROR(Consolidation_PL!J17,0)</f>
        <v>2900</v>
      </c>
    </row>
    <row r="7" spans="1:3" x14ac:dyDescent="0.35">
      <c r="A7" t="s">
        <v>377</v>
      </c>
      <c r="B7" t="s">
        <v>312</v>
      </c>
      <c r="C7" s="13">
        <f>-1*IFERROR(Consolidation_PL!J10,0)</f>
        <v>200</v>
      </c>
    </row>
    <row r="8" spans="1:3" x14ac:dyDescent="0.35">
      <c r="A8" t="s">
        <v>379</v>
      </c>
      <c r="B8" t="s">
        <v>380</v>
      </c>
      <c r="C8" s="13">
        <f>SUM(C3:C7)</f>
        <v>-4300</v>
      </c>
    </row>
    <row r="9" spans="1:3" x14ac:dyDescent="0.35">
      <c r="A9" t="s">
        <v>383</v>
      </c>
      <c r="B9" t="s">
        <v>384</v>
      </c>
      <c r="C9" s="13"/>
    </row>
    <row r="10" spans="1:3" x14ac:dyDescent="0.35">
      <c r="A10" t="s">
        <v>385</v>
      </c>
      <c r="B10" t="s">
        <v>386</v>
      </c>
      <c r="C10" s="13">
        <f>-1*IFERROR(Consolidation_BS!J15,0)</f>
        <v>-16000</v>
      </c>
    </row>
    <row r="11" spans="1:3" x14ac:dyDescent="0.35">
      <c r="A11" t="s">
        <v>388</v>
      </c>
      <c r="B11" t="s">
        <v>389</v>
      </c>
      <c r="C11" s="13">
        <f>IFERROR(Consolidation_BS!J28,0)</f>
        <v>10000</v>
      </c>
    </row>
    <row r="12" spans="1:3" x14ac:dyDescent="0.35">
      <c r="A12" t="s">
        <v>390</v>
      </c>
      <c r="B12" t="s">
        <v>391</v>
      </c>
      <c r="C12" s="13">
        <f>C8+C10+C11</f>
        <v>-10300</v>
      </c>
    </row>
    <row r="13" spans="1:3" x14ac:dyDescent="0.35">
      <c r="A13" t="s">
        <v>392</v>
      </c>
      <c r="B13" t="s">
        <v>393</v>
      </c>
      <c r="C13" s="13">
        <f>-1*IFERROR(Consolidation_PL!J23,0)</f>
        <v>0</v>
      </c>
    </row>
    <row r="14" spans="1:3" x14ac:dyDescent="0.35">
      <c r="A14" t="s">
        <v>394</v>
      </c>
      <c r="B14" t="s">
        <v>395</v>
      </c>
      <c r="C14" s="13">
        <f>C12+C13</f>
        <v>-10300</v>
      </c>
    </row>
    <row r="15" spans="1:3" x14ac:dyDescent="0.35">
      <c r="A15" t="s">
        <v>397</v>
      </c>
      <c r="B15" t="s">
        <v>398</v>
      </c>
      <c r="C15" s="13"/>
    </row>
    <row r="16" spans="1:3" x14ac:dyDescent="0.35">
      <c r="A16" t="s">
        <v>400</v>
      </c>
      <c r="B16" t="s">
        <v>401</v>
      </c>
      <c r="C16" s="13">
        <f>-1*IFERROR(Consolidation_BS!J4,0)</f>
        <v>-77500</v>
      </c>
    </row>
    <row r="17" spans="1:3" x14ac:dyDescent="0.35">
      <c r="A17" t="s">
        <v>402</v>
      </c>
      <c r="B17" t="s">
        <v>403</v>
      </c>
      <c r="C17" s="13">
        <f>IFERROR(Consolidation_PL!J10,0)</f>
        <v>-200</v>
      </c>
    </row>
    <row r="18" spans="1:3" x14ac:dyDescent="0.35">
      <c r="A18" t="s">
        <v>404</v>
      </c>
      <c r="B18" t="s">
        <v>405</v>
      </c>
      <c r="C18" s="13">
        <f>SUM(C16:C17)</f>
        <v>-77700</v>
      </c>
    </row>
    <row r="19" spans="1:3" x14ac:dyDescent="0.35">
      <c r="A19" t="s">
        <v>406</v>
      </c>
      <c r="B19" t="s">
        <v>407</v>
      </c>
      <c r="C19" s="13"/>
    </row>
    <row r="20" spans="1:3" x14ac:dyDescent="0.35">
      <c r="A20" t="s">
        <v>409</v>
      </c>
      <c r="B20" t="s">
        <v>410</v>
      </c>
      <c r="C20" s="13">
        <f>IFERROR(Consolidation_BS!J24,0)+IFERROR(Consolidation_BS!J27,0)</f>
        <v>45000</v>
      </c>
    </row>
    <row r="21" spans="1:3" x14ac:dyDescent="0.35">
      <c r="A21" t="s">
        <v>411</v>
      </c>
      <c r="B21" t="s">
        <v>412</v>
      </c>
      <c r="C21" s="13">
        <f>-1*IFERROR(Consolidation_PL!J17,0)</f>
        <v>-2900</v>
      </c>
    </row>
    <row r="22" spans="1:3" x14ac:dyDescent="0.35">
      <c r="A22" t="s">
        <v>413</v>
      </c>
      <c r="B22" t="s">
        <v>414</v>
      </c>
      <c r="C22" s="13">
        <f>SUM(C20:C21)</f>
        <v>42100</v>
      </c>
    </row>
    <row r="23" spans="1:3" x14ac:dyDescent="0.35">
      <c r="A23" t="s">
        <v>415</v>
      </c>
      <c r="B23" t="s">
        <v>416</v>
      </c>
      <c r="C23" s="13"/>
    </row>
    <row r="24" spans="1:3" x14ac:dyDescent="0.35">
      <c r="A24" t="s">
        <v>418</v>
      </c>
      <c r="B24" t="s">
        <v>419</v>
      </c>
      <c r="C24" s="13">
        <f>C14+C18+C22</f>
        <v>-45900</v>
      </c>
    </row>
    <row r="25" spans="1:3" x14ac:dyDescent="0.35">
      <c r="A25" t="s">
        <v>421</v>
      </c>
      <c r="B25" t="s">
        <v>422</v>
      </c>
      <c r="C25" s="13">
        <f>IFERROR(Consolidation_BS!J16,0)-C24</f>
        <v>64550</v>
      </c>
    </row>
    <row r="26" spans="1:3" x14ac:dyDescent="0.35">
      <c r="A26" t="s">
        <v>424</v>
      </c>
      <c r="B26" t="s">
        <v>425</v>
      </c>
      <c r="C26" s="13">
        <f>C25+C24</f>
        <v>18650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B6C1"/>
  </sheetPr>
  <dimension ref="A1:F7"/>
  <sheetViews>
    <sheetView workbookViewId="0">
      <pane ySplit="1" topLeftCell="A2" activePane="bottomLeft" state="frozen"/>
      <selection pane="bottomLeft" activeCell="E3" sqref="E3"/>
    </sheetView>
  </sheetViews>
  <sheetFormatPr defaultRowHeight="14.5" x14ac:dyDescent="0.35"/>
  <cols>
    <col min="1" max="1" width="20" customWidth="1"/>
    <col min="2" max="3" width="18" customWidth="1"/>
    <col min="4" max="4" width="45" customWidth="1"/>
    <col min="5" max="5" width="15" customWidth="1"/>
    <col min="6" max="6" width="35" customWidth="1"/>
  </cols>
  <sheetData>
    <row r="1" spans="1:6" x14ac:dyDescent="0.35">
      <c r="A1" s="24" t="s">
        <v>498</v>
      </c>
      <c r="B1" s="24" t="s">
        <v>499</v>
      </c>
      <c r="C1" s="24" t="s">
        <v>500</v>
      </c>
      <c r="D1" s="24" t="s">
        <v>465</v>
      </c>
      <c r="E1" s="24" t="s">
        <v>497</v>
      </c>
      <c r="F1" s="24" t="s">
        <v>501</v>
      </c>
    </row>
    <row r="2" spans="1:6" x14ac:dyDescent="0.35">
      <c r="A2" t="s">
        <v>502</v>
      </c>
      <c r="B2" t="s">
        <v>299</v>
      </c>
      <c r="D2" t="s">
        <v>503</v>
      </c>
      <c r="E2" s="13">
        <f>IC_Transactions!F2</f>
        <v>30000</v>
      </c>
      <c r="F2" t="s">
        <v>504</v>
      </c>
    </row>
    <row r="3" spans="1:6" x14ac:dyDescent="0.35">
      <c r="A3" t="s">
        <v>505</v>
      </c>
      <c r="B3" t="s">
        <v>207</v>
      </c>
      <c r="D3" t="s">
        <v>506</v>
      </c>
      <c r="E3" s="13">
        <f>-IC_Transactions!H2</f>
        <v>-3000</v>
      </c>
      <c r="F3" t="s">
        <v>507</v>
      </c>
    </row>
    <row r="4" spans="1:6" x14ac:dyDescent="0.35">
      <c r="A4" t="s">
        <v>508</v>
      </c>
      <c r="C4" t="s">
        <v>229</v>
      </c>
      <c r="D4" t="s">
        <v>509</v>
      </c>
      <c r="E4" s="13">
        <f>IC_Transactions!F3</f>
        <v>20000</v>
      </c>
      <c r="F4" t="s">
        <v>510</v>
      </c>
    </row>
    <row r="5" spans="1:6" x14ac:dyDescent="0.35">
      <c r="A5" t="s">
        <v>511</v>
      </c>
      <c r="B5" t="s">
        <v>278</v>
      </c>
      <c r="D5" t="s">
        <v>512</v>
      </c>
      <c r="E5" s="13">
        <f>IC_Transactions!F3</f>
        <v>20000</v>
      </c>
      <c r="F5" t="s">
        <v>513</v>
      </c>
    </row>
    <row r="6" spans="1:6" x14ac:dyDescent="0.35">
      <c r="A6" t="s">
        <v>514</v>
      </c>
      <c r="C6" t="s">
        <v>311</v>
      </c>
      <c r="D6" t="s">
        <v>515</v>
      </c>
      <c r="E6" s="13">
        <f>IC_Transactions!F4</f>
        <v>200</v>
      </c>
      <c r="F6" t="s">
        <v>516</v>
      </c>
    </row>
    <row r="7" spans="1:6" x14ac:dyDescent="0.35">
      <c r="A7" t="s">
        <v>517</v>
      </c>
      <c r="B7" t="s">
        <v>332</v>
      </c>
      <c r="D7" t="s">
        <v>518</v>
      </c>
      <c r="E7" s="13">
        <f>IC_Transactions!F4</f>
        <v>200</v>
      </c>
      <c r="F7" t="s">
        <v>519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0FFFF"/>
  </sheetPr>
  <dimension ref="A1:F35"/>
  <sheetViews>
    <sheetView topLeftCell="A22" workbookViewId="0">
      <selection activeCell="A34" sqref="A34"/>
    </sheetView>
  </sheetViews>
  <sheetFormatPr defaultRowHeight="14.5" x14ac:dyDescent="0.35"/>
  <cols>
    <col min="1" max="1" width="40" customWidth="1"/>
    <col min="2" max="2" width="8" customWidth="1"/>
    <col min="3" max="6" width="15" customWidth="1"/>
  </cols>
  <sheetData>
    <row r="1" spans="1:6" ht="18.5" x14ac:dyDescent="0.45">
      <c r="A1" s="16" t="s">
        <v>520</v>
      </c>
    </row>
    <row r="2" spans="1:6" ht="15.5" x14ac:dyDescent="0.35">
      <c r="A2" s="17" t="s">
        <v>521</v>
      </c>
    </row>
    <row r="3" spans="1:6" x14ac:dyDescent="0.35">
      <c r="A3" s="18" t="s">
        <v>522</v>
      </c>
    </row>
    <row r="4" spans="1:6" x14ac:dyDescent="0.35">
      <c r="A4" s="2" t="s">
        <v>523</v>
      </c>
    </row>
    <row r="5" spans="1:6" x14ac:dyDescent="0.35">
      <c r="C5">
        <v>0</v>
      </c>
    </row>
    <row r="6" spans="1:6" x14ac:dyDescent="0.35">
      <c r="A6" s="19" t="s">
        <v>524</v>
      </c>
      <c r="B6" s="19" t="s">
        <v>525</v>
      </c>
      <c r="C6" s="19" t="s">
        <v>143</v>
      </c>
      <c r="D6" s="19" t="s">
        <v>526</v>
      </c>
      <c r="E6" s="19" t="s">
        <v>527</v>
      </c>
      <c r="F6" s="19" t="s">
        <v>528</v>
      </c>
    </row>
    <row r="7" spans="1:6" x14ac:dyDescent="0.35">
      <c r="A7" t="s">
        <v>529</v>
      </c>
    </row>
    <row r="8" spans="1:6" x14ac:dyDescent="0.35">
      <c r="A8" t="s">
        <v>199</v>
      </c>
      <c r="C8">
        <f>IFERROR(Consolidation_BS!J3,0)</f>
        <v>122500</v>
      </c>
      <c r="D8">
        <f>0</f>
        <v>0</v>
      </c>
      <c r="E8">
        <f t="shared" ref="E8:E17" si="0">C8-D8</f>
        <v>122500</v>
      </c>
      <c r="F8">
        <f t="shared" ref="F8:F17" si="1">IFERROR(IF(D8&lt;&gt;0,E8/D8,0),0)</f>
        <v>0</v>
      </c>
    </row>
    <row r="9" spans="1:6" x14ac:dyDescent="0.35">
      <c r="A9" t="s">
        <v>530</v>
      </c>
      <c r="B9" t="s">
        <v>531</v>
      </c>
      <c r="C9">
        <f>IFERROR(Consolidation_BS!J4,0)</f>
        <v>77500</v>
      </c>
      <c r="D9">
        <f>0</f>
        <v>0</v>
      </c>
      <c r="E9">
        <f t="shared" si="0"/>
        <v>77500</v>
      </c>
      <c r="F9">
        <f t="shared" si="1"/>
        <v>0</v>
      </c>
    </row>
    <row r="10" spans="1:6" x14ac:dyDescent="0.35">
      <c r="A10" t="s">
        <v>532</v>
      </c>
      <c r="B10" t="s">
        <v>533</v>
      </c>
      <c r="C10">
        <f>IFERROR(Consolidation_BS!J5,0)</f>
        <v>45000</v>
      </c>
      <c r="D10">
        <f>0</f>
        <v>0</v>
      </c>
      <c r="E10">
        <f t="shared" si="0"/>
        <v>45000</v>
      </c>
      <c r="F10">
        <f t="shared" si="1"/>
        <v>0</v>
      </c>
    </row>
    <row r="11" spans="1:6" x14ac:dyDescent="0.35">
      <c r="A11" t="s">
        <v>534</v>
      </c>
      <c r="B11" t="s">
        <v>535</v>
      </c>
      <c r="C11">
        <f>IFERROR(Consolidation_BS!J9,0)</f>
        <v>0</v>
      </c>
      <c r="D11">
        <f>0</f>
        <v>0</v>
      </c>
      <c r="E11">
        <f t="shared" si="0"/>
        <v>0</v>
      </c>
      <c r="F11">
        <f t="shared" si="1"/>
        <v>0</v>
      </c>
    </row>
    <row r="12" spans="1:6" x14ac:dyDescent="0.35">
      <c r="A12" s="10" t="s">
        <v>536</v>
      </c>
      <c r="C12">
        <f>IFERROR(Consolidation_BS!J3,0)</f>
        <v>122500</v>
      </c>
      <c r="D12">
        <f>0</f>
        <v>0</v>
      </c>
      <c r="E12">
        <f t="shared" si="0"/>
        <v>122500</v>
      </c>
      <c r="F12" s="25">
        <f t="shared" si="1"/>
        <v>0</v>
      </c>
    </row>
    <row r="13" spans="1:6" x14ac:dyDescent="0.35">
      <c r="A13" t="s">
        <v>234</v>
      </c>
      <c r="C13">
        <f>IFERROR(Consolidation_BS!J12,0)</f>
        <v>34650</v>
      </c>
      <c r="D13">
        <f>0</f>
        <v>0</v>
      </c>
      <c r="E13">
        <f t="shared" si="0"/>
        <v>34650</v>
      </c>
      <c r="F13">
        <f t="shared" si="1"/>
        <v>0</v>
      </c>
    </row>
    <row r="14" spans="1:6" x14ac:dyDescent="0.35">
      <c r="A14" t="s">
        <v>537</v>
      </c>
      <c r="B14" t="s">
        <v>538</v>
      </c>
      <c r="C14">
        <f>IFERROR(Consolidation_BS!J15,0)</f>
        <v>16000</v>
      </c>
      <c r="D14">
        <f>0</f>
        <v>0</v>
      </c>
      <c r="E14">
        <f t="shared" si="0"/>
        <v>16000</v>
      </c>
      <c r="F14">
        <f t="shared" si="1"/>
        <v>0</v>
      </c>
    </row>
    <row r="15" spans="1:6" x14ac:dyDescent="0.35">
      <c r="A15" t="s">
        <v>539</v>
      </c>
      <c r="B15" t="s">
        <v>540</v>
      </c>
      <c r="C15">
        <f>IFERROR(Consolidation_BS!J16,0)</f>
        <v>18650</v>
      </c>
      <c r="D15">
        <f>0</f>
        <v>0</v>
      </c>
      <c r="E15">
        <f t="shared" si="0"/>
        <v>18650</v>
      </c>
      <c r="F15">
        <f t="shared" si="1"/>
        <v>0</v>
      </c>
    </row>
    <row r="16" spans="1:6" x14ac:dyDescent="0.35">
      <c r="A16" s="10" t="s">
        <v>541</v>
      </c>
      <c r="C16">
        <f>IFERROR(Consolidation_BS!J12,0)</f>
        <v>34650</v>
      </c>
      <c r="D16">
        <f>0</f>
        <v>0</v>
      </c>
      <c r="E16">
        <f t="shared" si="0"/>
        <v>34650</v>
      </c>
      <c r="F16" s="25">
        <f t="shared" si="1"/>
        <v>0</v>
      </c>
    </row>
    <row r="17" spans="1:6" x14ac:dyDescent="0.35">
      <c r="A17" s="10" t="s">
        <v>192</v>
      </c>
      <c r="C17">
        <f>IFERROR(Consolidation_BS!J2,0)</f>
        <v>157150</v>
      </c>
      <c r="D17">
        <f>0</f>
        <v>0</v>
      </c>
      <c r="E17">
        <f t="shared" si="0"/>
        <v>157150</v>
      </c>
      <c r="F17" s="25">
        <f t="shared" si="1"/>
        <v>0</v>
      </c>
    </row>
    <row r="19" spans="1:6" x14ac:dyDescent="0.35">
      <c r="A19" t="s">
        <v>542</v>
      </c>
    </row>
    <row r="20" spans="1:6" x14ac:dyDescent="0.35">
      <c r="A20" t="s">
        <v>70</v>
      </c>
      <c r="C20">
        <f>IFERROR(Consolidation_BS!J18,0)</f>
        <v>102150</v>
      </c>
      <c r="D20">
        <f>0</f>
        <v>0</v>
      </c>
      <c r="E20">
        <f t="shared" ref="E20:E32" si="2">C20-D20</f>
        <v>102150</v>
      </c>
      <c r="F20">
        <f t="shared" ref="F20:F32" si="3">IFERROR(IF(D20&lt;&gt;0,E20/D20,0),0)</f>
        <v>0</v>
      </c>
    </row>
    <row r="21" spans="1:6" x14ac:dyDescent="0.35">
      <c r="A21" t="s">
        <v>543</v>
      </c>
      <c r="B21" t="s">
        <v>544</v>
      </c>
      <c r="C21">
        <f>IFERROR(Consolidation_BS!J19,0)</f>
        <v>50000</v>
      </c>
      <c r="D21">
        <f>0</f>
        <v>0</v>
      </c>
      <c r="E21">
        <f t="shared" si="2"/>
        <v>50000</v>
      </c>
      <c r="F21">
        <f t="shared" si="3"/>
        <v>0</v>
      </c>
    </row>
    <row r="22" spans="1:6" x14ac:dyDescent="0.35">
      <c r="A22" t="s">
        <v>545</v>
      </c>
      <c r="B22" t="s">
        <v>546</v>
      </c>
      <c r="C22">
        <f>IFERROR(Consolidation_BS!J20,0)</f>
        <v>44530</v>
      </c>
      <c r="D22">
        <f>0</f>
        <v>0</v>
      </c>
      <c r="E22">
        <f t="shared" si="2"/>
        <v>44530</v>
      </c>
      <c r="F22">
        <f t="shared" si="3"/>
        <v>0</v>
      </c>
    </row>
    <row r="23" spans="1:6" x14ac:dyDescent="0.35">
      <c r="A23" t="s">
        <v>547</v>
      </c>
      <c r="B23" t="s">
        <v>548</v>
      </c>
      <c r="C23">
        <f>IFERROR(Consolidation_BS!J21,0)</f>
        <v>7620</v>
      </c>
      <c r="D23">
        <f>0</f>
        <v>0</v>
      </c>
      <c r="E23">
        <f t="shared" si="2"/>
        <v>7620</v>
      </c>
      <c r="F23">
        <f t="shared" si="3"/>
        <v>0</v>
      </c>
    </row>
    <row r="24" spans="1:6" x14ac:dyDescent="0.35">
      <c r="A24" s="10" t="s">
        <v>25</v>
      </c>
      <c r="C24">
        <f>IFERROR(Consolidation_BS!J18,0)</f>
        <v>102150</v>
      </c>
      <c r="D24">
        <f>0</f>
        <v>0</v>
      </c>
      <c r="E24">
        <f t="shared" si="2"/>
        <v>102150</v>
      </c>
      <c r="F24" s="25">
        <f t="shared" si="3"/>
        <v>0</v>
      </c>
    </row>
    <row r="25" spans="1:6" x14ac:dyDescent="0.35">
      <c r="A25" t="s">
        <v>266</v>
      </c>
      <c r="C25">
        <f>IFERROR(Consolidation_BS!J22,0)</f>
        <v>45000</v>
      </c>
      <c r="D25">
        <f>0</f>
        <v>0</v>
      </c>
      <c r="E25">
        <f t="shared" si="2"/>
        <v>45000</v>
      </c>
      <c r="F25">
        <f t="shared" si="3"/>
        <v>0</v>
      </c>
    </row>
    <row r="26" spans="1:6" x14ac:dyDescent="0.35">
      <c r="A26" t="s">
        <v>549</v>
      </c>
      <c r="B26" t="s">
        <v>550</v>
      </c>
      <c r="C26">
        <f>IFERROR(Consolidation_BS!J24,0)</f>
        <v>45000</v>
      </c>
      <c r="D26">
        <f>0</f>
        <v>0</v>
      </c>
      <c r="E26">
        <f t="shared" si="2"/>
        <v>45000</v>
      </c>
      <c r="F26">
        <f t="shared" si="3"/>
        <v>0</v>
      </c>
    </row>
    <row r="27" spans="1:6" x14ac:dyDescent="0.35">
      <c r="A27" s="10" t="s">
        <v>551</v>
      </c>
      <c r="C27">
        <f>IFERROR(Consolidation_BS!J22,0)</f>
        <v>45000</v>
      </c>
      <c r="D27">
        <f>0</f>
        <v>0</v>
      </c>
      <c r="E27">
        <f t="shared" si="2"/>
        <v>45000</v>
      </c>
      <c r="F27" s="25">
        <f t="shared" si="3"/>
        <v>0</v>
      </c>
    </row>
    <row r="28" spans="1:6" x14ac:dyDescent="0.35">
      <c r="A28" t="s">
        <v>275</v>
      </c>
      <c r="C28">
        <f>IFERROR(Consolidation_BS!J25,0)</f>
        <v>10000</v>
      </c>
      <c r="D28">
        <f>0</f>
        <v>0</v>
      </c>
      <c r="E28">
        <f t="shared" si="2"/>
        <v>10000</v>
      </c>
      <c r="F28">
        <f t="shared" si="3"/>
        <v>0</v>
      </c>
    </row>
    <row r="29" spans="1:6" x14ac:dyDescent="0.35">
      <c r="A29" t="s">
        <v>552</v>
      </c>
      <c r="B29" t="s">
        <v>553</v>
      </c>
      <c r="C29">
        <f>IFERROR(Consolidation_BS!J27,0)</f>
        <v>0</v>
      </c>
      <c r="D29">
        <f>0</f>
        <v>0</v>
      </c>
      <c r="E29">
        <f t="shared" si="2"/>
        <v>0</v>
      </c>
      <c r="F29">
        <f t="shared" si="3"/>
        <v>0</v>
      </c>
    </row>
    <row r="30" spans="1:6" x14ac:dyDescent="0.35">
      <c r="A30" t="s">
        <v>554</v>
      </c>
      <c r="B30" t="s">
        <v>555</v>
      </c>
      <c r="C30">
        <f>IFERROR(Consolidation_BS!J28,0)</f>
        <v>10000</v>
      </c>
      <c r="D30">
        <f>0</f>
        <v>0</v>
      </c>
      <c r="E30">
        <f t="shared" si="2"/>
        <v>10000</v>
      </c>
      <c r="F30">
        <f t="shared" si="3"/>
        <v>0</v>
      </c>
    </row>
    <row r="31" spans="1:6" x14ac:dyDescent="0.35">
      <c r="A31" s="10" t="s">
        <v>556</v>
      </c>
      <c r="C31">
        <f>IFERROR(Consolidation_BS!J25,0)</f>
        <v>10000</v>
      </c>
      <c r="D31">
        <f>0</f>
        <v>0</v>
      </c>
      <c r="E31">
        <f t="shared" si="2"/>
        <v>10000</v>
      </c>
      <c r="F31" s="25">
        <f t="shared" si="3"/>
        <v>0</v>
      </c>
    </row>
    <row r="32" spans="1:6" x14ac:dyDescent="0.35">
      <c r="A32" s="10" t="s">
        <v>557</v>
      </c>
      <c r="C32">
        <f>IFERROR(Consolidation_BS!J17,0)</f>
        <v>157150</v>
      </c>
      <c r="D32">
        <f>0</f>
        <v>0</v>
      </c>
      <c r="E32">
        <f t="shared" si="2"/>
        <v>157150</v>
      </c>
      <c r="F32" s="25">
        <f t="shared" si="3"/>
        <v>0</v>
      </c>
    </row>
    <row r="33" spans="1:3" x14ac:dyDescent="0.35">
      <c r="C33">
        <v>0</v>
      </c>
    </row>
    <row r="34" spans="1:3" x14ac:dyDescent="0.35">
      <c r="A34" t="s">
        <v>558</v>
      </c>
    </row>
    <row r="35" spans="1:3" x14ac:dyDescent="0.35">
      <c r="A35" s="22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0FFFF"/>
  </sheetPr>
  <dimension ref="A1:F35"/>
  <sheetViews>
    <sheetView topLeftCell="A4" workbookViewId="0"/>
  </sheetViews>
  <sheetFormatPr defaultRowHeight="14.5" x14ac:dyDescent="0.35"/>
  <cols>
    <col min="1" max="1" width="40" customWidth="1"/>
    <col min="2" max="2" width="8" customWidth="1"/>
    <col min="3" max="6" width="15" customWidth="1"/>
  </cols>
  <sheetData>
    <row r="1" spans="1:6" ht="18.5" x14ac:dyDescent="0.45">
      <c r="A1" s="16" t="s">
        <v>520</v>
      </c>
    </row>
    <row r="2" spans="1:6" ht="15.5" x14ac:dyDescent="0.35">
      <c r="A2" s="17" t="s">
        <v>559</v>
      </c>
    </row>
    <row r="3" spans="1:6" x14ac:dyDescent="0.35">
      <c r="A3" s="18" t="s">
        <v>560</v>
      </c>
    </row>
    <row r="4" spans="1:6" x14ac:dyDescent="0.35">
      <c r="A4" s="2" t="s">
        <v>523</v>
      </c>
    </row>
    <row r="5" spans="1:6" x14ac:dyDescent="0.35">
      <c r="C5">
        <v>0</v>
      </c>
    </row>
    <row r="6" spans="1:6" x14ac:dyDescent="0.35">
      <c r="A6" s="19" t="s">
        <v>524</v>
      </c>
      <c r="B6" s="19" t="s">
        <v>525</v>
      </c>
      <c r="C6" s="19" t="s">
        <v>143</v>
      </c>
      <c r="D6" s="19" t="s">
        <v>526</v>
      </c>
      <c r="E6" s="19" t="s">
        <v>527</v>
      </c>
      <c r="F6" s="19" t="s">
        <v>528</v>
      </c>
    </row>
    <row r="7" spans="1:6" x14ac:dyDescent="0.35">
      <c r="A7" t="s">
        <v>561</v>
      </c>
    </row>
    <row r="8" spans="1:6" x14ac:dyDescent="0.35">
      <c r="A8" t="s">
        <v>291</v>
      </c>
      <c r="C8">
        <f>IFERROR(Consolidation_PL!J3,0)</f>
        <v>23000</v>
      </c>
      <c r="D8">
        <f>0</f>
        <v>0</v>
      </c>
      <c r="E8">
        <f t="shared" ref="E8:E14" si="0">C8-D8</f>
        <v>23000</v>
      </c>
      <c r="F8">
        <f t="shared" ref="F8:F14" si="1">IFERROR(IF(D8&lt;&gt;0,E8/D8,0),0)</f>
        <v>0</v>
      </c>
    </row>
    <row r="9" spans="1:6" x14ac:dyDescent="0.35">
      <c r="A9" t="s">
        <v>562</v>
      </c>
      <c r="B9" t="s">
        <v>563</v>
      </c>
      <c r="C9">
        <f>IFERROR(Consolidation_PL!J4,0)</f>
        <v>15000</v>
      </c>
      <c r="D9">
        <f>0</f>
        <v>0</v>
      </c>
      <c r="E9">
        <f t="shared" si="0"/>
        <v>15000</v>
      </c>
      <c r="F9">
        <f t="shared" si="1"/>
        <v>0</v>
      </c>
    </row>
    <row r="10" spans="1:6" x14ac:dyDescent="0.35">
      <c r="A10" t="s">
        <v>564</v>
      </c>
      <c r="B10" t="s">
        <v>565</v>
      </c>
      <c r="C10">
        <f>IFERROR(Consolidation_PL!J5,0)</f>
        <v>8000</v>
      </c>
      <c r="D10">
        <f>0</f>
        <v>0</v>
      </c>
      <c r="E10">
        <f t="shared" si="0"/>
        <v>8000</v>
      </c>
      <c r="F10">
        <f t="shared" si="1"/>
        <v>0</v>
      </c>
    </row>
    <row r="11" spans="1:6" x14ac:dyDescent="0.35">
      <c r="A11" t="s">
        <v>566</v>
      </c>
      <c r="B11" t="s">
        <v>567</v>
      </c>
      <c r="C11">
        <f>IFERROR(Consolidation_PL!J6,0)</f>
        <v>0</v>
      </c>
      <c r="D11">
        <f>0</f>
        <v>0</v>
      </c>
      <c r="E11">
        <f t="shared" si="0"/>
        <v>0</v>
      </c>
      <c r="F11">
        <f t="shared" si="1"/>
        <v>0</v>
      </c>
    </row>
    <row r="12" spans="1:6" x14ac:dyDescent="0.35">
      <c r="A12" s="10" t="s">
        <v>568</v>
      </c>
      <c r="C12">
        <f>IFERROR(Consolidation_PL!J3,0)</f>
        <v>23000</v>
      </c>
      <c r="D12">
        <f>0</f>
        <v>0</v>
      </c>
      <c r="E12">
        <f t="shared" si="0"/>
        <v>23000</v>
      </c>
      <c r="F12" s="25">
        <f t="shared" si="1"/>
        <v>0</v>
      </c>
    </row>
    <row r="13" spans="1:6" x14ac:dyDescent="0.35">
      <c r="A13" t="s">
        <v>309</v>
      </c>
      <c r="B13" t="s">
        <v>569</v>
      </c>
      <c r="C13">
        <f>IFERROR(Consolidation_PL!J9,0)</f>
        <v>-200</v>
      </c>
      <c r="D13">
        <f>0</f>
        <v>0</v>
      </c>
      <c r="E13">
        <f t="shared" si="0"/>
        <v>-200</v>
      </c>
      <c r="F13">
        <f t="shared" si="1"/>
        <v>0</v>
      </c>
    </row>
    <row r="14" spans="1:6" x14ac:dyDescent="0.35">
      <c r="A14" s="10" t="s">
        <v>570</v>
      </c>
      <c r="C14">
        <f>IFERROR(Consolidation_PL!J2,0)</f>
        <v>22800</v>
      </c>
      <c r="D14">
        <f>0</f>
        <v>0</v>
      </c>
      <c r="E14">
        <f t="shared" si="0"/>
        <v>22800</v>
      </c>
      <c r="F14" s="25">
        <f t="shared" si="1"/>
        <v>0</v>
      </c>
    </row>
    <row r="16" spans="1:6" x14ac:dyDescent="0.35">
      <c r="A16" t="s">
        <v>571</v>
      </c>
    </row>
    <row r="17" spans="1:6" x14ac:dyDescent="0.35">
      <c r="A17" t="s">
        <v>572</v>
      </c>
      <c r="B17" t="s">
        <v>573</v>
      </c>
      <c r="C17">
        <f>IFERROR(Consolidation_PL!J14,0)</f>
        <v>20000</v>
      </c>
      <c r="D17">
        <f>0</f>
        <v>0</v>
      </c>
      <c r="E17">
        <f t="shared" ref="E17:E23" si="2">C17-D17</f>
        <v>20000</v>
      </c>
      <c r="F17">
        <f t="shared" ref="F17:F23" si="3">IFERROR(IF(D17&lt;&gt;0,E17/D17,0),0)</f>
        <v>0</v>
      </c>
    </row>
    <row r="18" spans="1:6" x14ac:dyDescent="0.35">
      <c r="A18" t="s">
        <v>574</v>
      </c>
      <c r="B18" t="s">
        <v>575</v>
      </c>
      <c r="C18">
        <f>IFERROR(Consolidation_PL!J16,0)</f>
        <v>5800</v>
      </c>
      <c r="D18">
        <f>0</f>
        <v>0</v>
      </c>
      <c r="E18">
        <f t="shared" si="2"/>
        <v>5800</v>
      </c>
      <c r="F18">
        <f t="shared" si="3"/>
        <v>0</v>
      </c>
    </row>
    <row r="19" spans="1:6" x14ac:dyDescent="0.35">
      <c r="A19" t="s">
        <v>576</v>
      </c>
      <c r="B19" t="s">
        <v>577</v>
      </c>
      <c r="C19">
        <f>IFERROR(Consolidation_PL!J17,0)</f>
        <v>2900</v>
      </c>
      <c r="D19">
        <f>0</f>
        <v>0</v>
      </c>
      <c r="E19">
        <f t="shared" si="2"/>
        <v>2900</v>
      </c>
      <c r="F19">
        <f t="shared" si="3"/>
        <v>0</v>
      </c>
    </row>
    <row r="20" spans="1:6" x14ac:dyDescent="0.35">
      <c r="A20" t="s">
        <v>578</v>
      </c>
      <c r="B20" t="s">
        <v>579</v>
      </c>
      <c r="C20">
        <f>IFERROR(Consolidation_PL!J18,0)</f>
        <v>8500</v>
      </c>
      <c r="D20">
        <f>0</f>
        <v>0</v>
      </c>
      <c r="E20">
        <f t="shared" si="2"/>
        <v>8500</v>
      </c>
      <c r="F20">
        <f t="shared" si="3"/>
        <v>0</v>
      </c>
    </row>
    <row r="21" spans="1:6" x14ac:dyDescent="0.35">
      <c r="A21" t="s">
        <v>580</v>
      </c>
      <c r="B21" t="s">
        <v>581</v>
      </c>
      <c r="C21">
        <f>IFERROR(Consolidation_PL!J12-Consolidation_PL!J14-Consolidation_PL!J16-Consolidation_PL!J17-Consolidation_PL!J18,0)</f>
        <v>1500</v>
      </c>
      <c r="D21">
        <f>0</f>
        <v>0</v>
      </c>
      <c r="E21">
        <f t="shared" si="2"/>
        <v>1500</v>
      </c>
      <c r="F21">
        <f t="shared" si="3"/>
        <v>0</v>
      </c>
    </row>
    <row r="22" spans="1:6" x14ac:dyDescent="0.35">
      <c r="A22" s="10" t="s">
        <v>582</v>
      </c>
      <c r="C22">
        <f>IFERROR(Consolidation_PL!J12,0)</f>
        <v>38700</v>
      </c>
      <c r="D22">
        <f>0</f>
        <v>0</v>
      </c>
      <c r="E22">
        <f t="shared" si="2"/>
        <v>38700</v>
      </c>
      <c r="F22" s="25">
        <f t="shared" si="3"/>
        <v>0</v>
      </c>
    </row>
    <row r="23" spans="1:6" x14ac:dyDescent="0.35">
      <c r="A23" t="s">
        <v>21</v>
      </c>
      <c r="C23">
        <f>IFERROR(Consolidation_PL!J21,0)</f>
        <v>-4500</v>
      </c>
      <c r="D23">
        <f>0</f>
        <v>0</v>
      </c>
      <c r="E23">
        <f t="shared" si="2"/>
        <v>-4500</v>
      </c>
      <c r="F23">
        <f t="shared" si="3"/>
        <v>0</v>
      </c>
    </row>
    <row r="25" spans="1:6" x14ac:dyDescent="0.35">
      <c r="A25" s="10" t="s">
        <v>22</v>
      </c>
      <c r="C25">
        <f>IFERROR(Consolidation_PL!J22,0)</f>
        <v>-15900</v>
      </c>
      <c r="D25">
        <f>0</f>
        <v>0</v>
      </c>
      <c r="E25">
        <f>C25-D25</f>
        <v>-15900</v>
      </c>
      <c r="F25">
        <f>IFERROR(IF(D25&lt;&gt;0,E25/D25,0),0)</f>
        <v>0</v>
      </c>
    </row>
    <row r="26" spans="1:6" x14ac:dyDescent="0.35">
      <c r="A26" t="s">
        <v>583</v>
      </c>
      <c r="B26" t="s">
        <v>584</v>
      </c>
      <c r="C26">
        <f>IFERROR(Consolidation_PL!J23+Consolidation_PL!J24,0)</f>
        <v>0</v>
      </c>
      <c r="D26">
        <f>0</f>
        <v>0</v>
      </c>
      <c r="E26">
        <f>C26-D26</f>
        <v>0</v>
      </c>
      <c r="F26">
        <f>IFERROR(IF(D26&lt;&gt;0,E26/D26,0),0)</f>
        <v>0</v>
      </c>
    </row>
    <row r="27" spans="1:6" x14ac:dyDescent="0.35">
      <c r="A27" s="10" t="s">
        <v>354</v>
      </c>
      <c r="C27">
        <f>IFERROR(Consolidation_PL!J25,0)</f>
        <v>-15900</v>
      </c>
      <c r="D27">
        <f>0</f>
        <v>0</v>
      </c>
      <c r="E27">
        <f>C27-D27</f>
        <v>-15900</v>
      </c>
      <c r="F27">
        <f>IFERROR(IF(D27&lt;&gt;0,E27/D27,0),0)</f>
        <v>0</v>
      </c>
    </row>
    <row r="29" spans="1:6" x14ac:dyDescent="0.35">
      <c r="A29" t="s">
        <v>585</v>
      </c>
    </row>
    <row r="30" spans="1:6" x14ac:dyDescent="0.35">
      <c r="A30" t="s">
        <v>586</v>
      </c>
      <c r="C30">
        <f>IFERROR(Consolidation_PL!J26,0)</f>
        <v>-16580</v>
      </c>
      <c r="D30">
        <f>0</f>
        <v>0</v>
      </c>
    </row>
    <row r="31" spans="1:6" x14ac:dyDescent="0.35">
      <c r="A31" t="s">
        <v>547</v>
      </c>
      <c r="C31">
        <f>IFERROR(Consolidation_PL!J27,0)</f>
        <v>680</v>
      </c>
      <c r="D31">
        <f>0</f>
        <v>0</v>
      </c>
    </row>
    <row r="32" spans="1:6" x14ac:dyDescent="0.35">
      <c r="A32" s="10" t="s">
        <v>354</v>
      </c>
      <c r="C32">
        <f>IFERROR(Consolidation_PL!J25,0)</f>
        <v>-15900</v>
      </c>
      <c r="D32">
        <f>0</f>
        <v>0</v>
      </c>
    </row>
    <row r="34" spans="1:1" x14ac:dyDescent="0.35">
      <c r="A34" t="s">
        <v>558</v>
      </c>
    </row>
    <row r="35" spans="1:1" x14ac:dyDescent="0.35">
      <c r="A35" s="22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0FFFF"/>
  </sheetPr>
  <dimension ref="A1:C36"/>
  <sheetViews>
    <sheetView workbookViewId="0"/>
  </sheetViews>
  <sheetFormatPr defaultRowHeight="14.5" x14ac:dyDescent="0.35"/>
  <cols>
    <col min="1" max="1" width="50" customWidth="1"/>
    <col min="2" max="3" width="18" customWidth="1"/>
  </cols>
  <sheetData>
    <row r="1" spans="1:3" ht="18.5" x14ac:dyDescent="0.45">
      <c r="A1" s="16" t="s">
        <v>520</v>
      </c>
    </row>
    <row r="2" spans="1:3" ht="15.5" x14ac:dyDescent="0.35">
      <c r="A2" s="17" t="s">
        <v>587</v>
      </c>
    </row>
    <row r="3" spans="1:3" x14ac:dyDescent="0.35">
      <c r="A3" s="18" t="s">
        <v>588</v>
      </c>
    </row>
    <row r="4" spans="1:3" x14ac:dyDescent="0.35">
      <c r="A4" s="2" t="s">
        <v>523</v>
      </c>
    </row>
    <row r="5" spans="1:3" x14ac:dyDescent="0.35">
      <c r="C5">
        <v>0</v>
      </c>
    </row>
    <row r="6" spans="1:3" x14ac:dyDescent="0.35">
      <c r="A6" s="19" t="s">
        <v>524</v>
      </c>
      <c r="B6" s="19" t="s">
        <v>143</v>
      </c>
      <c r="C6" s="19" t="s">
        <v>526</v>
      </c>
    </row>
    <row r="7" spans="1:3" x14ac:dyDescent="0.35">
      <c r="A7" t="s">
        <v>367</v>
      </c>
    </row>
    <row r="8" spans="1:3" x14ac:dyDescent="0.35">
      <c r="A8" t="s">
        <v>22</v>
      </c>
      <c r="B8">
        <f>IFERROR(Consolidation_CF!C3,0)</f>
        <v>-15900</v>
      </c>
      <c r="C8">
        <f>0</f>
        <v>0</v>
      </c>
    </row>
    <row r="9" spans="1:3" x14ac:dyDescent="0.35">
      <c r="A9" t="s">
        <v>373</v>
      </c>
    </row>
    <row r="10" spans="1:3" x14ac:dyDescent="0.35">
      <c r="A10" t="s">
        <v>578</v>
      </c>
      <c r="B10">
        <f>IFERROR(Consolidation_CF!C5,0)</f>
        <v>8500</v>
      </c>
      <c r="C10">
        <f>0</f>
        <v>0</v>
      </c>
    </row>
    <row r="11" spans="1:3" x14ac:dyDescent="0.35">
      <c r="A11" t="s">
        <v>576</v>
      </c>
      <c r="B11">
        <f>IFERROR(Consolidation_CF!C6,0)</f>
        <v>2900</v>
      </c>
      <c r="C11">
        <f>0</f>
        <v>0</v>
      </c>
    </row>
    <row r="12" spans="1:3" x14ac:dyDescent="0.35">
      <c r="A12" t="s">
        <v>589</v>
      </c>
      <c r="B12">
        <f>IFERROR(Consolidation_CF!C7,0)</f>
        <v>200</v>
      </c>
      <c r="C12">
        <f>0</f>
        <v>0</v>
      </c>
    </row>
    <row r="13" spans="1:3" x14ac:dyDescent="0.35">
      <c r="A13" t="s">
        <v>380</v>
      </c>
      <c r="B13">
        <f>IFERROR(Consolidation_CF!C8,0)</f>
        <v>-4300</v>
      </c>
      <c r="C13">
        <f>0</f>
        <v>0</v>
      </c>
    </row>
    <row r="14" spans="1:3" x14ac:dyDescent="0.35">
      <c r="A14" t="s">
        <v>384</v>
      </c>
    </row>
    <row r="15" spans="1:3" x14ac:dyDescent="0.35">
      <c r="A15" t="s">
        <v>590</v>
      </c>
      <c r="B15">
        <f>IFERROR(Consolidation_CF!C10,0)</f>
        <v>-16000</v>
      </c>
      <c r="C15">
        <f>0</f>
        <v>0</v>
      </c>
    </row>
    <row r="16" spans="1:3" x14ac:dyDescent="0.35">
      <c r="A16" t="s">
        <v>591</v>
      </c>
      <c r="B16">
        <f>IFERROR(Consolidation_CF!C11,0)</f>
        <v>10000</v>
      </c>
      <c r="C16">
        <f>0</f>
        <v>0</v>
      </c>
    </row>
    <row r="17" spans="1:3" x14ac:dyDescent="0.35">
      <c r="A17" t="s">
        <v>391</v>
      </c>
      <c r="B17">
        <f>IFERROR(Consolidation_CF!C12,0)</f>
        <v>-10300</v>
      </c>
      <c r="C17">
        <f>0</f>
        <v>0</v>
      </c>
    </row>
    <row r="18" spans="1:3" x14ac:dyDescent="0.35">
      <c r="A18" t="s">
        <v>592</v>
      </c>
      <c r="B18">
        <f>IFERROR(Consolidation_CF!C13,0)</f>
        <v>0</v>
      </c>
      <c r="C18">
        <f>0</f>
        <v>0</v>
      </c>
    </row>
    <row r="19" spans="1:3" x14ac:dyDescent="0.35">
      <c r="A19" s="10" t="s">
        <v>395</v>
      </c>
      <c r="B19">
        <f>IFERROR(Consolidation_CF!C14,0)</f>
        <v>-10300</v>
      </c>
      <c r="C19">
        <f>0</f>
        <v>0</v>
      </c>
    </row>
    <row r="21" spans="1:3" x14ac:dyDescent="0.35">
      <c r="A21" t="s">
        <v>398</v>
      </c>
    </row>
    <row r="22" spans="1:3" x14ac:dyDescent="0.35">
      <c r="A22" t="s">
        <v>593</v>
      </c>
      <c r="B22">
        <f>IFERROR(Consolidation_CF!C16,0)</f>
        <v>-77500</v>
      </c>
      <c r="C22">
        <f>0</f>
        <v>0</v>
      </c>
    </row>
    <row r="23" spans="1:3" x14ac:dyDescent="0.35">
      <c r="A23" t="s">
        <v>594</v>
      </c>
      <c r="B23">
        <f>IFERROR(Consolidation_CF!C17,0)</f>
        <v>-200</v>
      </c>
      <c r="C23">
        <f>0</f>
        <v>0</v>
      </c>
    </row>
    <row r="24" spans="1:3" x14ac:dyDescent="0.35">
      <c r="A24" s="10" t="s">
        <v>405</v>
      </c>
      <c r="B24">
        <f>IFERROR(Consolidation_CF!C18,0)</f>
        <v>-77700</v>
      </c>
      <c r="C24">
        <f>0</f>
        <v>0</v>
      </c>
    </row>
    <row r="26" spans="1:3" x14ac:dyDescent="0.35">
      <c r="A26" t="s">
        <v>407</v>
      </c>
    </row>
    <row r="27" spans="1:3" x14ac:dyDescent="0.35">
      <c r="A27" t="s">
        <v>595</v>
      </c>
      <c r="B27">
        <f>IFERROR(Consolidation_CF!C20,0)</f>
        <v>45000</v>
      </c>
      <c r="C27">
        <f>0</f>
        <v>0</v>
      </c>
    </row>
    <row r="28" spans="1:3" x14ac:dyDescent="0.35">
      <c r="A28" t="s">
        <v>596</v>
      </c>
      <c r="B28">
        <f>IFERROR(Consolidation_CF!C21,0)</f>
        <v>-2900</v>
      </c>
      <c r="C28">
        <f>0</f>
        <v>0</v>
      </c>
    </row>
    <row r="29" spans="1:3" x14ac:dyDescent="0.35">
      <c r="A29" s="10" t="s">
        <v>414</v>
      </c>
      <c r="B29">
        <f>IFERROR(Consolidation_CF!C22,0)</f>
        <v>42100</v>
      </c>
      <c r="C29">
        <f>0</f>
        <v>0</v>
      </c>
    </row>
    <row r="31" spans="1:3" x14ac:dyDescent="0.35">
      <c r="A31" s="10" t="s">
        <v>419</v>
      </c>
      <c r="B31">
        <f>IFERROR(Consolidation_CF!C24,0)</f>
        <v>-45900</v>
      </c>
      <c r="C31">
        <f>0</f>
        <v>0</v>
      </c>
    </row>
    <row r="32" spans="1:3" x14ac:dyDescent="0.35">
      <c r="A32" t="s">
        <v>422</v>
      </c>
      <c r="B32">
        <f>IFERROR(Consolidation_CF!C25,0)</f>
        <v>64550</v>
      </c>
      <c r="C32">
        <f>0</f>
        <v>0</v>
      </c>
    </row>
    <row r="33" spans="1:3" x14ac:dyDescent="0.35">
      <c r="A33" s="10" t="s">
        <v>425</v>
      </c>
      <c r="B33">
        <f>IFERROR(Consolidation_CF!C26,0)</f>
        <v>18650</v>
      </c>
      <c r="C33">
        <f>0</f>
        <v>0</v>
      </c>
    </row>
    <row r="35" spans="1:3" x14ac:dyDescent="0.35">
      <c r="A35" t="s">
        <v>558</v>
      </c>
    </row>
    <row r="36" spans="1:3" x14ac:dyDescent="0.35">
      <c r="A36" s="22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0FFFF"/>
  </sheetPr>
  <dimension ref="A1"/>
  <sheetViews>
    <sheetView workbookViewId="0"/>
  </sheetViews>
  <sheetFormatPr defaultRowHeight="14.5" x14ac:dyDescent="0.35"/>
  <sheetData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D3D3D3"/>
  </sheetPr>
  <dimension ref="A1:J144"/>
  <sheetViews>
    <sheetView workbookViewId="0">
      <selection activeCell="A9" sqref="A9"/>
    </sheetView>
  </sheetViews>
  <sheetFormatPr defaultRowHeight="14.5" x14ac:dyDescent="0.35"/>
  <cols>
    <col min="1" max="1" width="25" customWidth="1"/>
    <col min="2" max="2" width="20" customWidth="1"/>
    <col min="3" max="3" width="40" customWidth="1"/>
    <col min="6" max="10" width="0" hidden="1" customWidth="1"/>
  </cols>
  <sheetData>
    <row r="1" spans="1:10" x14ac:dyDescent="0.35">
      <c r="A1" s="20" t="s">
        <v>597</v>
      </c>
      <c r="B1" s="20" t="s">
        <v>598</v>
      </c>
      <c r="C1" s="20" t="s">
        <v>465</v>
      </c>
      <c r="F1" s="30">
        <v>45292</v>
      </c>
      <c r="G1" t="s">
        <v>10</v>
      </c>
      <c r="H1" t="s">
        <v>13</v>
      </c>
      <c r="I1" t="s">
        <v>705</v>
      </c>
      <c r="J1" t="s">
        <v>436</v>
      </c>
    </row>
    <row r="2" spans="1:10" x14ac:dyDescent="0.35">
      <c r="A2" t="s">
        <v>599</v>
      </c>
      <c r="B2" t="s">
        <v>5</v>
      </c>
      <c r="C2" t="s">
        <v>600</v>
      </c>
      <c r="F2" s="30">
        <v>45323</v>
      </c>
      <c r="G2" t="s">
        <v>703</v>
      </c>
      <c r="H2" t="s">
        <v>149</v>
      </c>
      <c r="I2" t="s">
        <v>707</v>
      </c>
      <c r="J2" t="s">
        <v>610</v>
      </c>
    </row>
    <row r="3" spans="1:10" x14ac:dyDescent="0.35">
      <c r="A3" t="s">
        <v>601</v>
      </c>
      <c r="B3" t="s">
        <v>8</v>
      </c>
      <c r="C3" t="s">
        <v>602</v>
      </c>
      <c r="F3" s="30">
        <v>45352</v>
      </c>
      <c r="G3" t="s">
        <v>704</v>
      </c>
      <c r="H3" t="s">
        <v>159</v>
      </c>
      <c r="I3" t="s">
        <v>706</v>
      </c>
      <c r="J3" t="s">
        <v>716</v>
      </c>
    </row>
    <row r="4" spans="1:10" x14ac:dyDescent="0.35">
      <c r="A4" t="s">
        <v>603</v>
      </c>
      <c r="B4" t="s">
        <v>10</v>
      </c>
      <c r="C4" t="s">
        <v>604</v>
      </c>
      <c r="F4" s="30">
        <v>45383</v>
      </c>
      <c r="I4" t="s">
        <v>607</v>
      </c>
    </row>
    <row r="5" spans="1:10" x14ac:dyDescent="0.35">
      <c r="A5" t="s">
        <v>47</v>
      </c>
      <c r="B5" t="s">
        <v>13</v>
      </c>
      <c r="C5" t="s">
        <v>605</v>
      </c>
      <c r="F5" s="30">
        <v>45413</v>
      </c>
      <c r="I5" t="s">
        <v>708</v>
      </c>
    </row>
    <row r="6" spans="1:10" x14ac:dyDescent="0.35">
      <c r="A6" t="s">
        <v>606</v>
      </c>
      <c r="B6" t="s">
        <v>607</v>
      </c>
      <c r="C6" t="s">
        <v>608</v>
      </c>
      <c r="F6" s="30">
        <v>45444</v>
      </c>
      <c r="I6" t="s">
        <v>709</v>
      </c>
    </row>
    <row r="7" spans="1:10" x14ac:dyDescent="0.35">
      <c r="A7" t="s">
        <v>609</v>
      </c>
      <c r="B7" t="s">
        <v>610</v>
      </c>
      <c r="C7" t="s">
        <v>611</v>
      </c>
      <c r="F7" s="30">
        <v>45474</v>
      </c>
      <c r="I7" t="s">
        <v>710</v>
      </c>
    </row>
    <row r="8" spans="1:10" x14ac:dyDescent="0.35">
      <c r="F8" s="30">
        <v>45505</v>
      </c>
      <c r="I8" t="s">
        <v>711</v>
      </c>
    </row>
    <row r="9" spans="1:10" x14ac:dyDescent="0.35">
      <c r="A9" s="28" t="s">
        <v>718</v>
      </c>
      <c r="F9" s="30">
        <v>45536</v>
      </c>
      <c r="I9" t="s">
        <v>712</v>
      </c>
    </row>
    <row r="10" spans="1:10" x14ac:dyDescent="0.35">
      <c r="F10" s="30">
        <v>45566</v>
      </c>
      <c r="I10" t="s">
        <v>713</v>
      </c>
    </row>
    <row r="11" spans="1:10" x14ac:dyDescent="0.35">
      <c r="F11" s="30">
        <v>45597</v>
      </c>
      <c r="I11" t="s">
        <v>714</v>
      </c>
    </row>
    <row r="12" spans="1:10" x14ac:dyDescent="0.35">
      <c r="F12" s="30">
        <v>45627</v>
      </c>
      <c r="I12" t="s">
        <v>715</v>
      </c>
    </row>
    <row r="13" spans="1:10" x14ac:dyDescent="0.35">
      <c r="F13" s="30">
        <v>45658</v>
      </c>
    </row>
    <row r="14" spans="1:10" x14ac:dyDescent="0.35">
      <c r="F14" s="30">
        <v>45689</v>
      </c>
    </row>
    <row r="15" spans="1:10" x14ac:dyDescent="0.35">
      <c r="F15" s="30">
        <v>45717</v>
      </c>
    </row>
    <row r="16" spans="1:10" x14ac:dyDescent="0.35">
      <c r="F16" s="30">
        <v>45748</v>
      </c>
    </row>
    <row r="17" spans="6:6" x14ac:dyDescent="0.35">
      <c r="F17" s="30">
        <v>45778</v>
      </c>
    </row>
    <row r="18" spans="6:6" x14ac:dyDescent="0.35">
      <c r="F18" s="30">
        <v>45809</v>
      </c>
    </row>
    <row r="19" spans="6:6" x14ac:dyDescent="0.35">
      <c r="F19" s="30">
        <v>45839</v>
      </c>
    </row>
    <row r="20" spans="6:6" x14ac:dyDescent="0.35">
      <c r="F20" s="30">
        <v>45870</v>
      </c>
    </row>
    <row r="21" spans="6:6" x14ac:dyDescent="0.35">
      <c r="F21" s="30">
        <v>45901</v>
      </c>
    </row>
    <row r="22" spans="6:6" x14ac:dyDescent="0.35">
      <c r="F22" s="30">
        <v>45931</v>
      </c>
    </row>
    <row r="23" spans="6:6" x14ac:dyDescent="0.35">
      <c r="F23" s="30">
        <v>45962</v>
      </c>
    </row>
    <row r="24" spans="6:6" x14ac:dyDescent="0.35">
      <c r="F24" s="30">
        <v>45992</v>
      </c>
    </row>
    <row r="25" spans="6:6" x14ac:dyDescent="0.35">
      <c r="F25" s="30">
        <v>46023</v>
      </c>
    </row>
    <row r="26" spans="6:6" x14ac:dyDescent="0.35">
      <c r="F26" s="30">
        <v>46054</v>
      </c>
    </row>
    <row r="27" spans="6:6" x14ac:dyDescent="0.35">
      <c r="F27" s="30">
        <v>46082</v>
      </c>
    </row>
    <row r="28" spans="6:6" x14ac:dyDescent="0.35">
      <c r="F28" s="30">
        <v>46113</v>
      </c>
    </row>
    <row r="29" spans="6:6" x14ac:dyDescent="0.35">
      <c r="F29" s="30">
        <v>46143</v>
      </c>
    </row>
    <row r="30" spans="6:6" x14ac:dyDescent="0.35">
      <c r="F30" s="30">
        <v>46174</v>
      </c>
    </row>
    <row r="31" spans="6:6" x14ac:dyDescent="0.35">
      <c r="F31" s="30">
        <v>46204</v>
      </c>
    </row>
    <row r="32" spans="6:6" x14ac:dyDescent="0.35">
      <c r="F32" s="30">
        <v>46235</v>
      </c>
    </row>
    <row r="33" spans="6:6" x14ac:dyDescent="0.35">
      <c r="F33" s="30">
        <v>46266</v>
      </c>
    </row>
    <row r="34" spans="6:6" x14ac:dyDescent="0.35">
      <c r="F34" s="30">
        <v>46296</v>
      </c>
    </row>
    <row r="35" spans="6:6" x14ac:dyDescent="0.35">
      <c r="F35" s="30">
        <v>46327</v>
      </c>
    </row>
    <row r="36" spans="6:6" x14ac:dyDescent="0.35">
      <c r="F36" s="30">
        <v>46357</v>
      </c>
    </row>
    <row r="37" spans="6:6" x14ac:dyDescent="0.35">
      <c r="F37" s="30">
        <v>46388</v>
      </c>
    </row>
    <row r="38" spans="6:6" x14ac:dyDescent="0.35">
      <c r="F38" s="30">
        <v>46419</v>
      </c>
    </row>
    <row r="39" spans="6:6" x14ac:dyDescent="0.35">
      <c r="F39" s="30">
        <v>46447</v>
      </c>
    </row>
    <row r="40" spans="6:6" x14ac:dyDescent="0.35">
      <c r="F40" s="30">
        <v>46478</v>
      </c>
    </row>
    <row r="41" spans="6:6" x14ac:dyDescent="0.35">
      <c r="F41" s="30">
        <v>46508</v>
      </c>
    </row>
    <row r="42" spans="6:6" x14ac:dyDescent="0.35">
      <c r="F42" s="30">
        <v>46539</v>
      </c>
    </row>
    <row r="43" spans="6:6" x14ac:dyDescent="0.35">
      <c r="F43" s="30">
        <v>46569</v>
      </c>
    </row>
    <row r="44" spans="6:6" x14ac:dyDescent="0.35">
      <c r="F44" s="30">
        <v>46600</v>
      </c>
    </row>
    <row r="45" spans="6:6" x14ac:dyDescent="0.35">
      <c r="F45" s="30">
        <v>46631</v>
      </c>
    </row>
    <row r="46" spans="6:6" x14ac:dyDescent="0.35">
      <c r="F46" s="30">
        <v>46661</v>
      </c>
    </row>
    <row r="47" spans="6:6" x14ac:dyDescent="0.35">
      <c r="F47" s="30">
        <v>46692</v>
      </c>
    </row>
    <row r="48" spans="6:6" x14ac:dyDescent="0.35">
      <c r="F48" s="30">
        <v>46722</v>
      </c>
    </row>
    <row r="49" spans="6:6" x14ac:dyDescent="0.35">
      <c r="F49" s="30">
        <v>46753</v>
      </c>
    </row>
    <row r="50" spans="6:6" x14ac:dyDescent="0.35">
      <c r="F50" s="30">
        <v>46784</v>
      </c>
    </row>
    <row r="51" spans="6:6" x14ac:dyDescent="0.35">
      <c r="F51" s="30">
        <v>46813</v>
      </c>
    </row>
    <row r="52" spans="6:6" x14ac:dyDescent="0.35">
      <c r="F52" s="30">
        <v>46844</v>
      </c>
    </row>
    <row r="53" spans="6:6" x14ac:dyDescent="0.35">
      <c r="F53" s="30">
        <v>46874</v>
      </c>
    </row>
    <row r="54" spans="6:6" x14ac:dyDescent="0.35">
      <c r="F54" s="30">
        <v>46905</v>
      </c>
    </row>
    <row r="55" spans="6:6" x14ac:dyDescent="0.35">
      <c r="F55" s="30">
        <v>46935</v>
      </c>
    </row>
    <row r="56" spans="6:6" x14ac:dyDescent="0.35">
      <c r="F56" s="30">
        <v>46966</v>
      </c>
    </row>
    <row r="57" spans="6:6" x14ac:dyDescent="0.35">
      <c r="F57" s="30">
        <v>46997</v>
      </c>
    </row>
    <row r="58" spans="6:6" x14ac:dyDescent="0.35">
      <c r="F58" s="30">
        <v>47027</v>
      </c>
    </row>
    <row r="59" spans="6:6" x14ac:dyDescent="0.35">
      <c r="F59" s="30">
        <v>47058</v>
      </c>
    </row>
    <row r="60" spans="6:6" x14ac:dyDescent="0.35">
      <c r="F60" s="30">
        <v>47088</v>
      </c>
    </row>
    <row r="61" spans="6:6" x14ac:dyDescent="0.35">
      <c r="F61" s="30">
        <v>47119</v>
      </c>
    </row>
    <row r="62" spans="6:6" x14ac:dyDescent="0.35">
      <c r="F62" s="30">
        <v>47150</v>
      </c>
    </row>
    <row r="63" spans="6:6" x14ac:dyDescent="0.35">
      <c r="F63" s="30">
        <v>47178</v>
      </c>
    </row>
    <row r="64" spans="6:6" x14ac:dyDescent="0.35">
      <c r="F64" s="30">
        <v>47209</v>
      </c>
    </row>
    <row r="65" spans="6:6" x14ac:dyDescent="0.35">
      <c r="F65" s="30">
        <v>47239</v>
      </c>
    </row>
    <row r="66" spans="6:6" x14ac:dyDescent="0.35">
      <c r="F66" s="30">
        <v>47270</v>
      </c>
    </row>
    <row r="67" spans="6:6" x14ac:dyDescent="0.35">
      <c r="F67" s="30">
        <v>47300</v>
      </c>
    </row>
    <row r="68" spans="6:6" x14ac:dyDescent="0.35">
      <c r="F68" s="30">
        <v>47331</v>
      </c>
    </row>
    <row r="69" spans="6:6" x14ac:dyDescent="0.35">
      <c r="F69" s="30">
        <v>47362</v>
      </c>
    </row>
    <row r="70" spans="6:6" x14ac:dyDescent="0.35">
      <c r="F70" s="30">
        <v>47392</v>
      </c>
    </row>
    <row r="71" spans="6:6" x14ac:dyDescent="0.35">
      <c r="F71" s="30">
        <v>47423</v>
      </c>
    </row>
    <row r="72" spans="6:6" x14ac:dyDescent="0.35">
      <c r="F72" s="30">
        <v>47453</v>
      </c>
    </row>
    <row r="73" spans="6:6" x14ac:dyDescent="0.35">
      <c r="F73" s="30">
        <v>47484</v>
      </c>
    </row>
    <row r="74" spans="6:6" x14ac:dyDescent="0.35">
      <c r="F74" s="30">
        <v>47515</v>
      </c>
    </row>
    <row r="75" spans="6:6" x14ac:dyDescent="0.35">
      <c r="F75" s="30">
        <v>47543</v>
      </c>
    </row>
    <row r="76" spans="6:6" x14ac:dyDescent="0.35">
      <c r="F76" s="30">
        <v>47574</v>
      </c>
    </row>
    <row r="77" spans="6:6" x14ac:dyDescent="0.35">
      <c r="F77" s="30">
        <v>47604</v>
      </c>
    </row>
    <row r="78" spans="6:6" x14ac:dyDescent="0.35">
      <c r="F78" s="30">
        <v>47635</v>
      </c>
    </row>
    <row r="79" spans="6:6" x14ac:dyDescent="0.35">
      <c r="F79" s="30">
        <v>47665</v>
      </c>
    </row>
    <row r="80" spans="6:6" x14ac:dyDescent="0.35">
      <c r="F80" s="30">
        <v>47696</v>
      </c>
    </row>
    <row r="81" spans="6:6" x14ac:dyDescent="0.35">
      <c r="F81" s="30">
        <v>47727</v>
      </c>
    </row>
    <row r="82" spans="6:6" x14ac:dyDescent="0.35">
      <c r="F82" s="30">
        <v>47757</v>
      </c>
    </row>
    <row r="83" spans="6:6" x14ac:dyDescent="0.35">
      <c r="F83" s="30">
        <v>47788</v>
      </c>
    </row>
    <row r="84" spans="6:6" x14ac:dyDescent="0.35">
      <c r="F84" s="30">
        <v>47818</v>
      </c>
    </row>
    <row r="85" spans="6:6" x14ac:dyDescent="0.35">
      <c r="F85" s="30">
        <v>47849</v>
      </c>
    </row>
    <row r="86" spans="6:6" x14ac:dyDescent="0.35">
      <c r="F86" s="30">
        <v>47880</v>
      </c>
    </row>
    <row r="87" spans="6:6" x14ac:dyDescent="0.35">
      <c r="F87" s="30">
        <v>47908</v>
      </c>
    </row>
    <row r="88" spans="6:6" x14ac:dyDescent="0.35">
      <c r="F88" s="30">
        <v>47939</v>
      </c>
    </row>
    <row r="89" spans="6:6" x14ac:dyDescent="0.35">
      <c r="F89" s="30">
        <v>47969</v>
      </c>
    </row>
    <row r="90" spans="6:6" x14ac:dyDescent="0.35">
      <c r="F90" s="30">
        <v>48000</v>
      </c>
    </row>
    <row r="91" spans="6:6" x14ac:dyDescent="0.35">
      <c r="F91" s="30">
        <v>48030</v>
      </c>
    </row>
    <row r="92" spans="6:6" x14ac:dyDescent="0.35">
      <c r="F92" s="30">
        <v>48061</v>
      </c>
    </row>
    <row r="93" spans="6:6" x14ac:dyDescent="0.35">
      <c r="F93" s="30">
        <v>48092</v>
      </c>
    </row>
    <row r="94" spans="6:6" x14ac:dyDescent="0.35">
      <c r="F94" s="30">
        <v>48122</v>
      </c>
    </row>
    <row r="95" spans="6:6" x14ac:dyDescent="0.35">
      <c r="F95" s="30">
        <v>48153</v>
      </c>
    </row>
    <row r="96" spans="6:6" x14ac:dyDescent="0.35">
      <c r="F96" s="30">
        <v>48183</v>
      </c>
    </row>
    <row r="97" spans="6:6" x14ac:dyDescent="0.35">
      <c r="F97" s="30">
        <v>48214</v>
      </c>
    </row>
    <row r="98" spans="6:6" x14ac:dyDescent="0.35">
      <c r="F98" s="30">
        <v>48245</v>
      </c>
    </row>
    <row r="99" spans="6:6" x14ac:dyDescent="0.35">
      <c r="F99" s="30">
        <v>48274</v>
      </c>
    </row>
    <row r="100" spans="6:6" x14ac:dyDescent="0.35">
      <c r="F100" s="30">
        <v>48305</v>
      </c>
    </row>
    <row r="101" spans="6:6" x14ac:dyDescent="0.35">
      <c r="F101" s="30">
        <v>48335</v>
      </c>
    </row>
    <row r="102" spans="6:6" x14ac:dyDescent="0.35">
      <c r="F102" s="30">
        <v>48366</v>
      </c>
    </row>
    <row r="103" spans="6:6" x14ac:dyDescent="0.35">
      <c r="F103" s="30">
        <v>48396</v>
      </c>
    </row>
    <row r="104" spans="6:6" x14ac:dyDescent="0.35">
      <c r="F104" s="30">
        <v>48427</v>
      </c>
    </row>
    <row r="105" spans="6:6" x14ac:dyDescent="0.35">
      <c r="F105" s="30">
        <v>48458</v>
      </c>
    </row>
    <row r="106" spans="6:6" x14ac:dyDescent="0.35">
      <c r="F106" s="30">
        <v>48488</v>
      </c>
    </row>
    <row r="107" spans="6:6" x14ac:dyDescent="0.35">
      <c r="F107" s="30">
        <v>48519</v>
      </c>
    </row>
    <row r="108" spans="6:6" x14ac:dyDescent="0.35">
      <c r="F108" s="30">
        <v>48549</v>
      </c>
    </row>
    <row r="109" spans="6:6" x14ac:dyDescent="0.35">
      <c r="F109" s="30">
        <v>48580</v>
      </c>
    </row>
    <row r="110" spans="6:6" x14ac:dyDescent="0.35">
      <c r="F110" s="30">
        <v>48611</v>
      </c>
    </row>
    <row r="111" spans="6:6" x14ac:dyDescent="0.35">
      <c r="F111" s="30">
        <v>48639</v>
      </c>
    </row>
    <row r="112" spans="6:6" x14ac:dyDescent="0.35">
      <c r="F112" s="30">
        <v>48670</v>
      </c>
    </row>
    <row r="113" spans="6:6" x14ac:dyDescent="0.35">
      <c r="F113" s="30">
        <v>48700</v>
      </c>
    </row>
    <row r="114" spans="6:6" x14ac:dyDescent="0.35">
      <c r="F114" s="30">
        <v>48731</v>
      </c>
    </row>
    <row r="115" spans="6:6" x14ac:dyDescent="0.35">
      <c r="F115" s="30">
        <v>48761</v>
      </c>
    </row>
    <row r="116" spans="6:6" x14ac:dyDescent="0.35">
      <c r="F116" s="30">
        <v>48792</v>
      </c>
    </row>
    <row r="117" spans="6:6" x14ac:dyDescent="0.35">
      <c r="F117" s="30">
        <v>48823</v>
      </c>
    </row>
    <row r="118" spans="6:6" x14ac:dyDescent="0.35">
      <c r="F118" s="30">
        <v>48853</v>
      </c>
    </row>
    <row r="119" spans="6:6" x14ac:dyDescent="0.35">
      <c r="F119" s="30">
        <v>48884</v>
      </c>
    </row>
    <row r="120" spans="6:6" x14ac:dyDescent="0.35">
      <c r="F120" s="30">
        <v>48914</v>
      </c>
    </row>
    <row r="121" spans="6:6" x14ac:dyDescent="0.35">
      <c r="F121" s="30">
        <v>48945</v>
      </c>
    </row>
    <row r="122" spans="6:6" x14ac:dyDescent="0.35">
      <c r="F122" s="30">
        <v>48976</v>
      </c>
    </row>
    <row r="123" spans="6:6" x14ac:dyDescent="0.35">
      <c r="F123" s="30">
        <v>49004</v>
      </c>
    </row>
    <row r="124" spans="6:6" x14ac:dyDescent="0.35">
      <c r="F124" s="30">
        <v>49035</v>
      </c>
    </row>
    <row r="125" spans="6:6" x14ac:dyDescent="0.35">
      <c r="F125" s="30">
        <v>49065</v>
      </c>
    </row>
    <row r="126" spans="6:6" x14ac:dyDescent="0.35">
      <c r="F126" s="30">
        <v>49096</v>
      </c>
    </row>
    <row r="127" spans="6:6" x14ac:dyDescent="0.35">
      <c r="F127" s="30">
        <v>49126</v>
      </c>
    </row>
    <row r="128" spans="6:6" x14ac:dyDescent="0.35">
      <c r="F128" s="30">
        <v>49157</v>
      </c>
    </row>
    <row r="129" spans="6:6" x14ac:dyDescent="0.35">
      <c r="F129" s="30">
        <v>49188</v>
      </c>
    </row>
    <row r="130" spans="6:6" x14ac:dyDescent="0.35">
      <c r="F130" s="30">
        <v>49218</v>
      </c>
    </row>
    <row r="131" spans="6:6" x14ac:dyDescent="0.35">
      <c r="F131" s="30">
        <v>49249</v>
      </c>
    </row>
    <row r="132" spans="6:6" x14ac:dyDescent="0.35">
      <c r="F132" s="30">
        <v>49279</v>
      </c>
    </row>
    <row r="133" spans="6:6" x14ac:dyDescent="0.35">
      <c r="F133" s="30">
        <v>49310</v>
      </c>
    </row>
    <row r="134" spans="6:6" x14ac:dyDescent="0.35">
      <c r="F134" s="30">
        <v>49341</v>
      </c>
    </row>
    <row r="135" spans="6:6" x14ac:dyDescent="0.35">
      <c r="F135" s="30">
        <v>49369</v>
      </c>
    </row>
    <row r="136" spans="6:6" x14ac:dyDescent="0.35">
      <c r="F136" s="30">
        <v>49400</v>
      </c>
    </row>
    <row r="137" spans="6:6" x14ac:dyDescent="0.35">
      <c r="F137" s="30">
        <v>49430</v>
      </c>
    </row>
    <row r="138" spans="6:6" x14ac:dyDescent="0.35">
      <c r="F138" s="30">
        <v>49461</v>
      </c>
    </row>
    <row r="139" spans="6:6" x14ac:dyDescent="0.35">
      <c r="F139" s="30">
        <v>49491</v>
      </c>
    </row>
    <row r="140" spans="6:6" x14ac:dyDescent="0.35">
      <c r="F140" s="30">
        <v>49522</v>
      </c>
    </row>
    <row r="141" spans="6:6" x14ac:dyDescent="0.35">
      <c r="F141" s="30">
        <v>49553</v>
      </c>
    </row>
    <row r="142" spans="6:6" x14ac:dyDescent="0.35">
      <c r="F142" s="30">
        <v>49583</v>
      </c>
    </row>
    <row r="143" spans="6:6" x14ac:dyDescent="0.35">
      <c r="F143" s="30">
        <v>49614</v>
      </c>
    </row>
    <row r="144" spans="6:6" x14ac:dyDescent="0.35">
      <c r="F144" s="30">
        <v>49644</v>
      </c>
    </row>
  </sheetData>
  <phoneticPr fontId="16" type="noConversion"/>
  <dataValidations count="5">
    <dataValidation type="list" allowBlank="1" showInputMessage="1" showErrorMessage="1" sqref="B2 B3" xr:uid="{F42273CE-877C-4268-8270-2003E1793273}">
      <formula1>$F$1:$F$144</formula1>
    </dataValidation>
    <dataValidation type="list" allowBlank="1" showInputMessage="1" showErrorMessage="1" sqref="B4" xr:uid="{D57C1E81-76C2-4A8C-8E71-2380DB9863C7}">
      <formula1>$G$1:$G$3</formula1>
    </dataValidation>
    <dataValidation type="list" allowBlank="1" showInputMessage="1" showErrorMessage="1" sqref="B5" xr:uid="{EC11221E-2EA6-4BE0-B540-272901B13671}">
      <formula1>$H$1:$H$3</formula1>
    </dataValidation>
    <dataValidation type="list" allowBlank="1" showInputMessage="1" showErrorMessage="1" sqref="B6" xr:uid="{2DFA3C2B-48CC-4E3C-9965-839C6FC09303}">
      <formula1>$I$1:$I$12</formula1>
    </dataValidation>
    <dataValidation type="list" allowBlank="1" showInputMessage="1" showErrorMessage="1" sqref="B7" xr:uid="{F384C954-08DD-48DE-A03B-40344AC719A1}">
      <formula1>$J$1:$J$3</formula1>
    </dataValidation>
  </dataValidations>
  <hyperlinks>
    <hyperlink ref="A9" location="Dashboard!A1" display="Go Back to Dashboard" xr:uid="{B55E587F-24D0-4FDE-8D7B-65EE975AC999}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B6C1"/>
  </sheetPr>
  <dimension ref="A1:I30"/>
  <sheetViews>
    <sheetView showGridLines="0" workbookViewId="0">
      <pane ySplit="1" topLeftCell="A2" activePane="bottomLeft" state="frozen"/>
      <selection pane="bottomLeft" activeCell="I2" sqref="I2"/>
    </sheetView>
  </sheetViews>
  <sheetFormatPr defaultRowHeight="14.5" x14ac:dyDescent="0.35"/>
  <cols>
    <col min="1" max="1" width="10" customWidth="1"/>
    <col min="2" max="2" width="45" customWidth="1"/>
    <col min="3" max="3" width="12" customWidth="1"/>
    <col min="4" max="4" width="15" customWidth="1"/>
    <col min="5" max="6" width="12" customWidth="1"/>
  </cols>
  <sheetData>
    <row r="1" spans="1:9" x14ac:dyDescent="0.35">
      <c r="A1" s="21" t="s">
        <v>612</v>
      </c>
      <c r="B1" s="21" t="s">
        <v>613</v>
      </c>
      <c r="C1" s="21" t="s">
        <v>614</v>
      </c>
      <c r="D1" s="21" t="s">
        <v>615</v>
      </c>
      <c r="E1" s="21" t="s">
        <v>616</v>
      </c>
      <c r="F1" s="21" t="s">
        <v>527</v>
      </c>
    </row>
    <row r="2" spans="1:9" x14ac:dyDescent="0.35">
      <c r="A2" t="s">
        <v>617</v>
      </c>
      <c r="B2" t="s">
        <v>689</v>
      </c>
      <c r="C2">
        <v>0</v>
      </c>
      <c r="D2" s="13">
        <f>IFERROR(Consolidation_BS!J2-Consolidation_BS!J17,0)</f>
        <v>0</v>
      </c>
      <c r="E2" s="26" t="str">
        <f t="shared" ref="E2:E8" si="0">IF(ABS(D2)&lt;0.01,"PASS","FAIL")</f>
        <v>PASS</v>
      </c>
      <c r="F2" s="13" t="s">
        <v>618</v>
      </c>
      <c r="G2">
        <f ca="1">COUNTIF($E$2:$E$18,"FAIL")</f>
        <v>0</v>
      </c>
      <c r="I2" s="28" t="s">
        <v>718</v>
      </c>
    </row>
    <row r="3" spans="1:9" x14ac:dyDescent="0.35">
      <c r="A3" t="s">
        <v>619</v>
      </c>
      <c r="B3" t="s">
        <v>690</v>
      </c>
      <c r="C3">
        <v>0</v>
      </c>
      <c r="D3" s="13">
        <f>ABS(IFERROR(Consolidation_BS!J11,0)-IFERROR(Consolidation_BS!J27,0))</f>
        <v>0</v>
      </c>
      <c r="E3" s="26" t="str">
        <f t="shared" si="0"/>
        <v>PASS</v>
      </c>
      <c r="F3" s="13">
        <f t="shared" ref="F3:F18" si="1">D3</f>
        <v>0</v>
      </c>
    </row>
    <row r="4" spans="1:9" x14ac:dyDescent="0.35">
      <c r="A4" t="s">
        <v>620</v>
      </c>
      <c r="B4" t="s">
        <v>621</v>
      </c>
      <c r="C4">
        <v>0</v>
      </c>
      <c r="D4" s="13">
        <f>SUM(TB_Input!$E$5:$E$23,TB_Input!$E$25:$E$200)-SUM(TB_Input!$F$5:$F$23,TB_Input!$F$25:$F$200)</f>
        <v>0</v>
      </c>
      <c r="E4" s="26" t="str">
        <f t="shared" si="0"/>
        <v>PASS</v>
      </c>
      <c r="F4" s="13">
        <f t="shared" si="1"/>
        <v>0</v>
      </c>
    </row>
    <row r="5" spans="1:9" x14ac:dyDescent="0.35">
      <c r="A5" t="s">
        <v>622</v>
      </c>
      <c r="B5" t="s">
        <v>623</v>
      </c>
      <c r="C5">
        <v>0</v>
      </c>
      <c r="D5" s="13">
        <f>SUM(TB_Input!$H$5:$H$23,TB_Input!$H$25:$H$200)-SUM(TB_Input!$I$5:$I$23,TB_Input!$I$25:$I$200)</f>
        <v>0</v>
      </c>
      <c r="E5" s="26" t="str">
        <f t="shared" si="0"/>
        <v>PASS</v>
      </c>
      <c r="F5" s="13">
        <f t="shared" si="1"/>
        <v>0</v>
      </c>
    </row>
    <row r="6" spans="1:9" x14ac:dyDescent="0.35">
      <c r="A6" t="s">
        <v>624</v>
      </c>
      <c r="B6" t="s">
        <v>691</v>
      </c>
      <c r="C6">
        <v>0</v>
      </c>
      <c r="D6" s="13">
        <f>SUM(TB_Input!$K$5:$K$23,TB_Input!$K$25:$K$200)-SUM(TB_Input!$L$5:$L$23,TB_Input!$L$25:$L$200)</f>
        <v>0</v>
      </c>
      <c r="E6" s="26" t="str">
        <f t="shared" si="0"/>
        <v>PASS</v>
      </c>
      <c r="F6" s="13">
        <f t="shared" si="1"/>
        <v>0</v>
      </c>
    </row>
    <row r="7" spans="1:9" x14ac:dyDescent="0.35">
      <c r="A7" t="s">
        <v>625</v>
      </c>
      <c r="B7" t="s">
        <v>692</v>
      </c>
      <c r="C7">
        <v>0</v>
      </c>
      <c r="D7" s="13">
        <f>ABS(IFERROR(Consolidation_CF!C26,0)-IFERROR(Consolidation_BS!J16,0))</f>
        <v>0</v>
      </c>
      <c r="E7" s="26" t="str">
        <f t="shared" si="0"/>
        <v>PASS</v>
      </c>
      <c r="F7" s="13">
        <f t="shared" si="1"/>
        <v>0</v>
      </c>
    </row>
    <row r="8" spans="1:9" x14ac:dyDescent="0.35">
      <c r="A8" t="s">
        <v>626</v>
      </c>
      <c r="B8" t="s">
        <v>693</v>
      </c>
      <c r="C8">
        <v>0</v>
      </c>
      <c r="D8" s="13">
        <f>ABS(IFERROR(Consolidation_PL!J27,0)-IFERROR(Consolidation_PL!K25,0))+ABS(IFERROR(Consolidation_PL!J26,0)-IFERROR(Consolidation_PL!L25,0))</f>
        <v>0</v>
      </c>
      <c r="E8" s="26" t="str">
        <f t="shared" si="0"/>
        <v>PASS</v>
      </c>
      <c r="F8" s="13">
        <f t="shared" si="1"/>
        <v>0</v>
      </c>
    </row>
    <row r="9" spans="1:9" x14ac:dyDescent="0.35">
      <c r="A9" t="s">
        <v>628</v>
      </c>
      <c r="B9" t="s">
        <v>627</v>
      </c>
      <c r="C9">
        <v>0</v>
      </c>
      <c r="D9" s="13">
        <f>COUNTIFS(Entity_Master!$E$2:$E$20,"&lt;0")+COUNTIFS(Entity_Master!$E$2:$E$20,"&gt;1")</f>
        <v>0</v>
      </c>
      <c r="E9" s="26" t="str">
        <f t="shared" ref="E9:E16" si="2">IF(D9=0,"PASS","FAIL")</f>
        <v>PASS</v>
      </c>
      <c r="F9" s="13">
        <f t="shared" si="1"/>
        <v>0</v>
      </c>
    </row>
    <row r="10" spans="1:9" x14ac:dyDescent="0.35">
      <c r="A10" t="s">
        <v>629</v>
      </c>
      <c r="B10" t="s">
        <v>694</v>
      </c>
      <c r="C10">
        <v>0</v>
      </c>
      <c r="D10" s="13">
        <f>SUMPRODUCT(--(Entity_Master!$A$2:$A$20=Entity_Master!$D$2:$D$20),--(Entity_Master!$A$2:$A$20&lt;&gt;""))</f>
        <v>0</v>
      </c>
      <c r="E10" s="26" t="str">
        <f t="shared" si="2"/>
        <v>PASS</v>
      </c>
      <c r="F10" s="13">
        <f t="shared" si="1"/>
        <v>0</v>
      </c>
    </row>
    <row r="11" spans="1:9" x14ac:dyDescent="0.35">
      <c r="A11" t="s">
        <v>630</v>
      </c>
      <c r="B11" t="s">
        <v>695</v>
      </c>
      <c r="C11">
        <v>0</v>
      </c>
      <c r="D11" s="13" cm="1">
        <f t="array" ref="D11">ABS(COUNTA(IC_Transactions!$A$2:$A$20)*2-COUNTA(Eliminations!$A$2:$A$20))+SUMPRODUCT(--(Eliminations!$A$2:$A$100&lt;&gt;""),--NOT(_xlfn.ISFORMULA(Eliminations!$E$2:$E$100)))+COUNTIFS(Eliminations!$A$2:$A$100,"EPC_Revenue_Elim",Eliminations!$B$2:$B$100,"&lt;&gt;PL_I_140")+COUNTIFS(Eliminations!$A$2:$A$100,"EPC_Revenue_Elim",Eliminations!$C$2:$C$100,"&lt;&gt;")+COUNTIFS(Eliminations!$A$2:$A$100,"Profit_in_CWIP",Eliminations!$B$2:$B$100,"&lt;&gt;BS_A_120")+COUNTIFS(Eliminations!$A$2:$A$100,"Profit_in_CWIP",Eliminations!$C$2:$C$100,"&lt;&gt;")+COUNTIFS(Eliminations!$A$2:$A$100,"IC_Loan_Elim_Asset",Eliminations!$B$2:$B$100,"&lt;&gt;")+COUNTIFS(Eliminations!$A$2:$A$100,"IC_Loan_Elim_Asset",Eliminations!$C$2:$C$100,"&lt;&gt;BS_A_153")+COUNTIFS(Eliminations!$A$2:$A$100,"IC_Loan_Elim_Liab",Eliminations!$B$2:$B$100,"&lt;&gt;BS_L_211")+COUNTIFS(Eliminations!$A$2:$A$100,"IC_Loan_Elim_Liab",Eliminations!$C$2:$C$100,"&lt;&gt;")+COUNTIFS(Eliminations!$A$2:$A$100,"IC_Interest_Elim_Inc",Eliminations!$B$2:$B$100,"&lt;&gt;")+COUNTIFS(Eliminations!$A$2:$A$100,"IC_Interest_Elim_Inc",Eliminations!$C$2:$C$100,"&lt;&gt;PL_I_210")+COUNTIFS(Eliminations!$A$2:$A$100,"IC_Interest_Elim_Exp",Eliminations!$B$2:$B$100,"&lt;&gt;PL_E_140")+COUNTIFS(Eliminations!$A$2:$A$100,"IC_Interest_Elim_Exp",Eliminations!$C$2:$C$100,"&lt;&gt;")+ABS(SUMIF(Eliminations!$A$2:$A$100,"EPC_Revenue_Elim",Eliminations!$E$2:$E$100)-SUMIFS(IC_Transactions!$F$2:$F$20,IC_Transactions!$B$2:$B$20,"EPC_Revenue"))+ABS(SUMIF(Eliminations!$A$2:$A$100,"Profit_in_CWIP",Eliminations!$E$2:$E$100)+SUMPRODUCT((IC_Transactions!$B$2:$B$20="EPC_Revenue")*(IC_Transactions!$F$2:$F$20)*(IC_Transactions!$G$2:$G$20)))+ABS(SUMIF(Eliminations!$A$2:$A$100,"IC_Loan_Elim_Asset",Eliminations!$E$2:$E$100)-SUMIFS(IC_Transactions!$F$2:$F$20,IC_Transactions!$B$2:$B$20,"Loan_Given"))+ABS(SUMIF(Eliminations!$A$2:$A$100,"IC_Loan_Elim_Liab",Eliminations!$E$2:$E$100)-SUMIFS(IC_Transactions!$F$2:$F$20,IC_Transactions!$B$2:$B$20,"Loan_Given"))+ABS(SUMIF(Eliminations!$A$2:$A$100,"IC_Interest_Elim_Inc",Eliminations!$E$2:$E$100)-SUMIFS(IC_Transactions!$F$2:$F$20,IC_Transactions!$B$2:$B$20,"Interest_Charged"))+ABS(SUMIF(Eliminations!$A$2:$A$100,"IC_Interest_Elim_Exp",Eliminations!$E$2:$E$100)-SUMIFS(IC_Transactions!$F$2:$F$20,IC_Transactions!$B$2:$B$20,"Interest_Charged"))</f>
        <v>0</v>
      </c>
      <c r="E11" s="26" t="str">
        <f t="shared" si="2"/>
        <v>PASS</v>
      </c>
      <c r="F11" s="13">
        <f t="shared" si="1"/>
        <v>0</v>
      </c>
    </row>
    <row r="12" spans="1:9" x14ac:dyDescent="0.35">
      <c r="A12" t="s">
        <v>632</v>
      </c>
      <c r="B12" t="s">
        <v>696</v>
      </c>
      <c r="C12">
        <v>0</v>
      </c>
      <c r="D12">
        <f>SUMPRODUCT(--(TB_Input!$A$5:$A$200&lt;&gt;""),--(TB_Input!$A$5:$A$200&lt;&gt;"TOTAL"),--ISNA(MATCH(LEFT(TB_Input!$A$5:$A$200,3),{"100","110","111","112","113","115","120","121","122","140","141","142","200","300","302","399","402","500","501","510","520","540","550","551","600","610","620","630","640","650","660","670","700","701"},0)))</f>
        <v>0</v>
      </c>
      <c r="E12" t="str">
        <f t="shared" si="2"/>
        <v>PASS</v>
      </c>
      <c r="F12">
        <f t="shared" si="1"/>
        <v>0</v>
      </c>
    </row>
    <row r="13" spans="1:9" x14ac:dyDescent="0.35">
      <c r="A13" t="s">
        <v>633</v>
      </c>
      <c r="B13" t="s">
        <v>631</v>
      </c>
      <c r="C13">
        <v>0</v>
      </c>
      <c r="D13" s="13">
        <f>SUMPRODUCT(--((Entity_Master!$A$2:$A$20&lt;&gt;"")*(Entity_Master!$B$2:$B$20="")))+SUMPRODUCT(--((Entity_Master!$B$2:$B$20&lt;&gt;"")*(Entity_Master!$A$2:$A$20="")))</f>
        <v>0</v>
      </c>
      <c r="E13" t="str">
        <f t="shared" si="2"/>
        <v>PASS</v>
      </c>
      <c r="F13" s="13">
        <f t="shared" si="1"/>
        <v>0</v>
      </c>
    </row>
    <row r="14" spans="1:9" x14ac:dyDescent="0.35">
      <c r="A14" t="s">
        <v>634</v>
      </c>
      <c r="B14" t="s">
        <v>697</v>
      </c>
      <c r="C14">
        <v>0</v>
      </c>
      <c r="D14" s="13">
        <f>SUMPRODUCT(--ISERROR(Consolidation_BS!$E$2:$J$28))+SUMPRODUCT(--ISERROR(Consolidation_PL!$E$2:$L$27))+SUMPRODUCT(--ISERROR(Consolidation_CF!$C$3:$C$26))+SUMPRODUCT(--ISERROR(Output_BS!$C$7:$F$32))+SUMPRODUCT(--ISERROR(Output_PL!$C$7:$F$32))+SUMPRODUCT(--ISERROR(Output_CF!$B$7:$C$33))</f>
        <v>0</v>
      </c>
      <c r="E14" t="str">
        <f t="shared" si="2"/>
        <v>PASS</v>
      </c>
      <c r="F14" s="13">
        <f t="shared" si="1"/>
        <v>0</v>
      </c>
    </row>
    <row r="15" spans="1:9" x14ac:dyDescent="0.35">
      <c r="A15" t="s">
        <v>635</v>
      </c>
      <c r="B15" t="s">
        <v>636</v>
      </c>
      <c r="C15">
        <v>0</v>
      </c>
      <c r="D15" s="13">
        <f>SUMPRODUCT(--(COUNTIF(Entity_Master!$A$2:$A$20,Entity_Master!$A$2:$A$20)&gt;1),--(Entity_Master!$A$2:$A$20&lt;&gt;""))</f>
        <v>0</v>
      </c>
      <c r="E15" t="str">
        <f t="shared" si="2"/>
        <v>PASS</v>
      </c>
      <c r="F15" s="13">
        <f t="shared" si="1"/>
        <v>0</v>
      </c>
    </row>
    <row r="16" spans="1:9" x14ac:dyDescent="0.35">
      <c r="A16" t="s">
        <v>637</v>
      </c>
      <c r="B16" t="s">
        <v>698</v>
      </c>
      <c r="C16">
        <v>0</v>
      </c>
      <c r="D16" s="13">
        <f>ABS(IFERROR(Output_BS!C17,0)-IFERROR(Consolidation_BS!J2,0))+ABS(IFERROR(Output_PL!C25,0)-IFERROR(Consolidation_PL!J22,0))+ABS(IFERROR(Output_CF!B33,0)-IFERROR(Consolidation_CF!C26,0))</f>
        <v>0</v>
      </c>
      <c r="E16" t="str">
        <f t="shared" si="2"/>
        <v>PASS</v>
      </c>
      <c r="F16" s="13">
        <f t="shared" si="1"/>
        <v>0</v>
      </c>
    </row>
    <row r="17" spans="1:6" x14ac:dyDescent="0.35">
      <c r="A17" t="s">
        <v>699</v>
      </c>
      <c r="B17" t="s">
        <v>700</v>
      </c>
      <c r="C17">
        <v>0</v>
      </c>
      <c r="D17" cm="1">
        <f t="array" aca="1" ref="D17" ca="1">SUMPRODUCT(--(LEN(Consolidation_BS!$E$2:$J$28)&gt;0),--ISERROR(_xlfn.FORMULATEXT(Consolidation_BS!$E$2:$J$28)))+
SUMPRODUCT(--(LEN(Consolidation_PL!$E$2:$L$27)&gt;0),--ISERROR(_xlfn.FORMULATEXT(Consolidation_PL!$E$2:$L$27)))+
SUMPRODUCT(--(LEN(Consolidation_CF!$C$3:$C$26)&gt;0),--ISERROR(_xlfn.FORMULATEXT(Consolidation_CF!$C$3:$C$26)))+
SUMPRODUCT(--(LEN(Output_BS!$C$7:$F$32)&gt;0),--ISERROR(_xlfn.FORMULATEXT(Output_BS!$C$7:$F$32)))+
SUMPRODUCT(--(LEN(Output_PL!$C$7:$F$32)&gt;0),--ISERROR(_xlfn.FORMULATEXT(Output_PL!$C$7:$F$32)))+
SUMPRODUCT(--(LEN(Output_CF!$B$7:$C$33)&gt;0),--ISERROR(_xlfn.FORMULATEXT(Output_CF!$B$7:$C$33)))+
SUMPRODUCT(--(TB_Input!$A$5:$A$23&lt;&gt;""),--ISERROR(_xlfn.FORMULATEXT(TB_Input!$G$5:$G$23)))+
SUMPRODUCT(--(TB_Input!$A$25:$A$200&lt;&gt;""),--ISERROR(_xlfn.FORMULATEXT(TB_Input!$G$25:$G$200)))+
SUMPRODUCT(--(TB_Input!$A$5:$A$23&lt;&gt;""),--ISERROR(_xlfn.FORMULATEXT(TB_Input!$J$5:$J$23)))+
SUMPRODUCT(--(TB_Input!$A$25:$A$200&lt;&gt;""),--ISERROR(_xlfn.FORMULATEXT(TB_Input!$J$25:$J$200)))+
SUMPRODUCT(--(TB_Input!$A$5:$A$23&lt;&gt;""),--ISERROR(_xlfn.FORMULATEXT(TB_Input!$M$5:$M$23)))+
SUMPRODUCT(--(TB_Input!$A$25:$A$200&lt;&gt;""),--ISERROR(_xlfn.FORMULATEXT(TB_Input!$M$25:$M$200)))+
SUMPRODUCT(--(TB_Input!$A$5:$A$23&lt;&gt;""),--ISERROR(_xlfn.FORMULATEXT(TB_Input!$N$5:$N$23)))+
SUMPRODUCT(--(TB_Input!$A$25:$A$200&lt;&gt;""),--ISERROR(_xlfn.FORMULATEXT(TB_Input!$N$25:$N$200)))</f>
        <v>0</v>
      </c>
      <c r="E17" t="str">
        <f ca="1">IF(ABS(D17)&lt;0.01,"PASS","FAIL")</f>
        <v>PASS</v>
      </c>
      <c r="F17">
        <f t="shared" ca="1" si="1"/>
        <v>0</v>
      </c>
    </row>
    <row r="18" spans="1:6" x14ac:dyDescent="0.35">
      <c r="A18" t="s">
        <v>701</v>
      </c>
      <c r="B18" t="s">
        <v>702</v>
      </c>
      <c r="C18">
        <v>0</v>
      </c>
      <c r="D18">
        <f>COUNTA(TB_Input!$A$201:$N$260)</f>
        <v>0</v>
      </c>
      <c r="E18" t="str">
        <f>IF(D18=0,"PASS","FAIL")</f>
        <v>PASS</v>
      </c>
      <c r="F18">
        <f t="shared" si="1"/>
        <v>0</v>
      </c>
    </row>
    <row r="30" spans="1:6" x14ac:dyDescent="0.35">
      <c r="A30" s="10" t="s">
        <v>638</v>
      </c>
      <c r="C30">
        <f ca="1">COUNTIF($E$2:$E$18,"FAIL")</f>
        <v>0</v>
      </c>
    </row>
  </sheetData>
  <hyperlinks>
    <hyperlink ref="I2" location="Dashboard!A1" display="Go Back to Dashboard" xr:uid="{C7CBB8B9-5676-4799-9173-26043793F8DB}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FFFF"/>
  </sheetPr>
  <dimension ref="A1:D59"/>
  <sheetViews>
    <sheetView workbookViewId="0">
      <selection activeCell="A7" sqref="A7"/>
    </sheetView>
  </sheetViews>
  <sheetFormatPr defaultRowHeight="14.5" x14ac:dyDescent="0.35"/>
  <cols>
    <col min="1" max="1" width="100" customWidth="1"/>
  </cols>
  <sheetData>
    <row r="1" spans="1:4" ht="18.5" x14ac:dyDescent="0.45">
      <c r="A1" s="39" t="s">
        <v>639</v>
      </c>
      <c r="B1" s="32"/>
      <c r="C1" s="32"/>
      <c r="D1" s="32"/>
    </row>
    <row r="4" spans="1:4" ht="15.5" x14ac:dyDescent="0.35">
      <c r="A4" s="17" t="s">
        <v>640</v>
      </c>
    </row>
    <row r="5" spans="1:4" x14ac:dyDescent="0.35">
      <c r="A5" t="s">
        <v>641</v>
      </c>
    </row>
    <row r="6" spans="1:4" x14ac:dyDescent="0.35">
      <c r="A6" t="s">
        <v>642</v>
      </c>
    </row>
    <row r="8" spans="1:4" ht="15.5" x14ac:dyDescent="0.35">
      <c r="A8" s="17" t="s">
        <v>643</v>
      </c>
    </row>
    <row r="9" spans="1:4" x14ac:dyDescent="0.35">
      <c r="A9" t="s">
        <v>644</v>
      </c>
    </row>
    <row r="10" spans="1:4" x14ac:dyDescent="0.35">
      <c r="A10" t="s">
        <v>645</v>
      </c>
    </row>
    <row r="11" spans="1:4" x14ac:dyDescent="0.35">
      <c r="A11" t="s">
        <v>646</v>
      </c>
    </row>
    <row r="12" spans="1:4" x14ac:dyDescent="0.35">
      <c r="A12" t="s">
        <v>647</v>
      </c>
    </row>
    <row r="14" spans="1:4" ht="15.5" x14ac:dyDescent="0.35">
      <c r="A14" s="17" t="s">
        <v>648</v>
      </c>
    </row>
    <row r="15" spans="1:4" x14ac:dyDescent="0.35">
      <c r="A15" t="s">
        <v>649</v>
      </c>
    </row>
    <row r="16" spans="1:4" x14ac:dyDescent="0.35">
      <c r="A16" t="s">
        <v>650</v>
      </c>
    </row>
    <row r="17" spans="1:1" x14ac:dyDescent="0.35">
      <c r="A17" t="s">
        <v>651</v>
      </c>
    </row>
    <row r="19" spans="1:1" ht="15.5" x14ac:dyDescent="0.35">
      <c r="A19" s="17" t="s">
        <v>652</v>
      </c>
    </row>
    <row r="20" spans="1:1" x14ac:dyDescent="0.35">
      <c r="A20" t="s">
        <v>653</v>
      </c>
    </row>
    <row r="21" spans="1:1" x14ac:dyDescent="0.35">
      <c r="A21" t="s">
        <v>654</v>
      </c>
    </row>
    <row r="22" spans="1:1" x14ac:dyDescent="0.35">
      <c r="A22" t="s">
        <v>655</v>
      </c>
    </row>
    <row r="23" spans="1:1" x14ac:dyDescent="0.35">
      <c r="A23" t="s">
        <v>656</v>
      </c>
    </row>
    <row r="25" spans="1:1" ht="15.5" x14ac:dyDescent="0.35">
      <c r="A25" s="17" t="s">
        <v>657</v>
      </c>
    </row>
    <row r="26" spans="1:1" x14ac:dyDescent="0.35">
      <c r="A26" t="s">
        <v>658</v>
      </c>
    </row>
    <row r="27" spans="1:1" x14ac:dyDescent="0.35">
      <c r="A27" t="s">
        <v>659</v>
      </c>
    </row>
    <row r="28" spans="1:1" x14ac:dyDescent="0.35">
      <c r="A28" t="s">
        <v>660</v>
      </c>
    </row>
    <row r="29" spans="1:1" x14ac:dyDescent="0.35">
      <c r="A29" t="s">
        <v>661</v>
      </c>
    </row>
    <row r="31" spans="1:1" ht="15.5" x14ac:dyDescent="0.35">
      <c r="A31" s="17" t="s">
        <v>662</v>
      </c>
    </row>
    <row r="32" spans="1:1" x14ac:dyDescent="0.35">
      <c r="A32" t="s">
        <v>663</v>
      </c>
    </row>
    <row r="33" spans="1:1" x14ac:dyDescent="0.35">
      <c r="A33" t="s">
        <v>664</v>
      </c>
    </row>
    <row r="34" spans="1:1" x14ac:dyDescent="0.35">
      <c r="A34" t="s">
        <v>665</v>
      </c>
    </row>
    <row r="35" spans="1:1" x14ac:dyDescent="0.35">
      <c r="A35" t="s">
        <v>666</v>
      </c>
    </row>
    <row r="37" spans="1:1" ht="15.5" x14ac:dyDescent="0.35">
      <c r="A37" s="17" t="s">
        <v>667</v>
      </c>
    </row>
    <row r="38" spans="1:1" x14ac:dyDescent="0.35">
      <c r="A38" t="s">
        <v>668</v>
      </c>
    </row>
    <row r="39" spans="1:1" x14ac:dyDescent="0.35">
      <c r="A39" t="s">
        <v>669</v>
      </c>
    </row>
    <row r="40" spans="1:1" x14ac:dyDescent="0.35">
      <c r="A40" t="s">
        <v>670</v>
      </c>
    </row>
    <row r="42" spans="1:1" ht="15.5" x14ac:dyDescent="0.35">
      <c r="A42" s="17" t="s">
        <v>671</v>
      </c>
    </row>
    <row r="43" spans="1:1" x14ac:dyDescent="0.35">
      <c r="A43" t="s">
        <v>672</v>
      </c>
    </row>
    <row r="44" spans="1:1" x14ac:dyDescent="0.35">
      <c r="A44" t="s">
        <v>673</v>
      </c>
    </row>
    <row r="45" spans="1:1" x14ac:dyDescent="0.35">
      <c r="A45" t="s">
        <v>674</v>
      </c>
    </row>
    <row r="46" spans="1:1" x14ac:dyDescent="0.35">
      <c r="A46" t="s">
        <v>675</v>
      </c>
    </row>
    <row r="47" spans="1:1" x14ac:dyDescent="0.35">
      <c r="A47" t="s">
        <v>676</v>
      </c>
    </row>
    <row r="48" spans="1:1" x14ac:dyDescent="0.35">
      <c r="A48" t="s">
        <v>677</v>
      </c>
    </row>
    <row r="50" spans="1:1" ht="15.5" x14ac:dyDescent="0.35">
      <c r="A50" s="17" t="s">
        <v>678</v>
      </c>
    </row>
    <row r="51" spans="1:1" x14ac:dyDescent="0.35">
      <c r="A51" t="s">
        <v>679</v>
      </c>
    </row>
    <row r="52" spans="1:1" x14ac:dyDescent="0.35">
      <c r="A52" t="s">
        <v>680</v>
      </c>
    </row>
    <row r="53" spans="1:1" x14ac:dyDescent="0.35">
      <c r="A53" t="s">
        <v>681</v>
      </c>
    </row>
    <row r="54" spans="1:1" x14ac:dyDescent="0.35">
      <c r="A54" t="s">
        <v>682</v>
      </c>
    </row>
    <row r="56" spans="1:1" ht="15.5" x14ac:dyDescent="0.35">
      <c r="A56" s="17" t="s">
        <v>683</v>
      </c>
    </row>
    <row r="57" spans="1:1" x14ac:dyDescent="0.35">
      <c r="A57" t="s">
        <v>684</v>
      </c>
    </row>
    <row r="58" spans="1:1" x14ac:dyDescent="0.35">
      <c r="A58" t="s">
        <v>685</v>
      </c>
    </row>
    <row r="59" spans="1:1" x14ac:dyDescent="0.35">
      <c r="A59" t="s">
        <v>686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Dashboard</vt:lpstr>
      <vt:lpstr>Entity_Master</vt:lpstr>
      <vt:lpstr>Asset_Master</vt:lpstr>
      <vt:lpstr>Reference_Lists</vt:lpstr>
      <vt:lpstr>Mapping_BS</vt:lpstr>
      <vt:lpstr>Mapping_PL</vt:lpstr>
      <vt:lpstr>Mapping_CF</vt:lpstr>
      <vt:lpstr>TB_Input</vt:lpstr>
      <vt:lpstr>IC_Transactions</vt:lpstr>
      <vt:lpstr>Consolidation_BS</vt:lpstr>
      <vt:lpstr>Consolidation_PL</vt:lpstr>
      <vt:lpstr>Consolidation_CF</vt:lpstr>
      <vt:lpstr>Eliminations</vt:lpstr>
      <vt:lpstr>Output_BS</vt:lpstr>
      <vt:lpstr>Output_PL</vt:lpstr>
      <vt:lpstr>Output_CF</vt:lpstr>
      <vt:lpstr>Output_Segment</vt:lpstr>
      <vt:lpstr>Period_Control</vt:lpstr>
      <vt:lpstr>Validation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Priyam Kashyap</cp:lastModifiedBy>
  <dcterms:created xsi:type="dcterms:W3CDTF">2026-03-17T11:10:09Z</dcterms:created>
  <dcterms:modified xsi:type="dcterms:W3CDTF">2026-03-26T06:28:32Z</dcterms:modified>
</cp:coreProperties>
</file>