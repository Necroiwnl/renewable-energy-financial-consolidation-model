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1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Entity_Master" sheetId="2" state="visible" r:id="rId2"/>
    <sheet xmlns:r="http://schemas.openxmlformats.org/officeDocument/2006/relationships" name="Asset_Master" sheetId="3" state="visible" r:id="rId3"/>
    <sheet xmlns:r="http://schemas.openxmlformats.org/officeDocument/2006/relationships" name="Reference_Lists" sheetId="4" state="visible" r:id="rId4"/>
    <sheet xmlns:r="http://schemas.openxmlformats.org/officeDocument/2006/relationships" name="Mapping_BS" sheetId="5" state="visible" r:id="rId5"/>
    <sheet xmlns:r="http://schemas.openxmlformats.org/officeDocument/2006/relationships" name="Mapping_PL" sheetId="6" state="visible" r:id="rId6"/>
    <sheet xmlns:r="http://schemas.openxmlformats.org/officeDocument/2006/relationships" name="Mapping_CF" sheetId="7" state="visible" r:id="rId7"/>
    <sheet xmlns:r="http://schemas.openxmlformats.org/officeDocument/2006/relationships" name="TB_Input" sheetId="8" state="visible" r:id="rId8"/>
    <sheet xmlns:r="http://schemas.openxmlformats.org/officeDocument/2006/relationships" name="IC_Transactions" sheetId="9" state="visible" r:id="rId9"/>
    <sheet xmlns:r="http://schemas.openxmlformats.org/officeDocument/2006/relationships" name="Consolidation_BS" sheetId="10" state="visible" r:id="rId10"/>
    <sheet xmlns:r="http://schemas.openxmlformats.org/officeDocument/2006/relationships" name="Consolidation_PL" sheetId="11" state="visible" r:id="rId11"/>
    <sheet xmlns:r="http://schemas.openxmlformats.org/officeDocument/2006/relationships" name="Consolidation_CF" sheetId="12" state="visible" r:id="rId12"/>
    <sheet xmlns:r="http://schemas.openxmlformats.org/officeDocument/2006/relationships" name="Eliminations" sheetId="13" state="visible" r:id="rId13"/>
    <sheet xmlns:r="http://schemas.openxmlformats.org/officeDocument/2006/relationships" name="Output_BS" sheetId="14" state="visible" r:id="rId14"/>
    <sheet xmlns:r="http://schemas.openxmlformats.org/officeDocument/2006/relationships" name="Output_PL" sheetId="15" state="visible" r:id="rId15"/>
    <sheet xmlns:r="http://schemas.openxmlformats.org/officeDocument/2006/relationships" name="Output_CF" sheetId="16" state="visible" r:id="rId16"/>
    <sheet xmlns:r="http://schemas.openxmlformats.org/officeDocument/2006/relationships" name="Output_Segment" sheetId="17" state="visible" r:id="rId17"/>
    <sheet xmlns:r="http://schemas.openxmlformats.org/officeDocument/2006/relationships" name="Period_Control" sheetId="18" state="visible" r:id="rId18"/>
    <sheet xmlns:r="http://schemas.openxmlformats.org/officeDocument/2006/relationships" name="Validation" sheetId="19" state="visible" r:id="rId19"/>
    <sheet xmlns:r="http://schemas.openxmlformats.org/officeDocument/2006/relationships" name="Instruction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6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color rgb="00FFFFFF"/>
      <sz val="11"/>
    </font>
    <font>
      <b val="1"/>
      <sz val="14"/>
    </font>
    <font>
      <b val="1"/>
      <sz val="12"/>
    </font>
    <font>
      <i val="1"/>
      <sz val="10"/>
    </font>
    <font>
      <i val="1"/>
      <sz val="9"/>
    </font>
    <font>
      <b val="1"/>
      <color rgb="00FFFFFF"/>
    </font>
    <font>
      <b val="1"/>
      <color rgb="00FFFFFF"/>
      <sz val="16"/>
    </font>
    <font>
      <i val="1"/>
    </font>
    <font>
      <b val="1"/>
      <color rgb="00FFFFFF"/>
      <sz val="12"/>
    </font>
    <font>
      <color rgb="000563C1"/>
      <u val="single"/>
    </font>
    <font>
      <b val="1"/>
      <color rgb="0000B050"/>
      <sz val="14"/>
    </font>
    <font>
      <i val="1"/>
      <color rgb="000000FF"/>
    </font>
    <font>
      <b val="1"/>
      <color rgb="00006100"/>
    </font>
  </fonts>
  <fills count="1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FD966"/>
        <bgColor rgb="00FFD966"/>
      </patternFill>
    </fill>
    <fill>
      <patternFill patternType="solid">
        <fgColor rgb="00FFC000"/>
        <bgColor rgb="00FFC000"/>
      </patternFill>
    </fill>
    <fill>
      <patternFill patternType="solid">
        <fgColor rgb="004472C4"/>
        <bgColor rgb="004472C4"/>
      </patternFill>
    </fill>
    <fill>
      <patternFill patternType="solid">
        <fgColor rgb="00002060"/>
        <bgColor rgb="00002060"/>
      </patternFill>
    </fill>
    <fill>
      <patternFill patternType="solid">
        <fgColor rgb="00D9E1F2"/>
        <bgColor rgb="00D9E1F2"/>
      </patternFill>
    </fill>
    <fill>
      <patternFill patternType="solid">
        <fgColor rgb="00C00000"/>
        <bgColor rgb="00C00000"/>
      </patternFill>
    </fill>
    <fill>
      <patternFill patternType="solid">
        <fgColor rgb="00D3D3D3"/>
        <bgColor rgb="00D3D3D3"/>
      </patternFill>
    </fill>
    <fill>
      <patternFill patternType="solid">
        <fgColor rgb="00FFFFE0"/>
        <bgColor rgb="00FFFFE0"/>
      </patternFill>
    </fill>
    <fill>
      <patternFill patternType="solid">
        <fgColor rgb="00DDA0DD"/>
        <bgColor rgb="00DDA0DD"/>
      </patternFill>
    </fill>
    <fill>
      <patternFill patternType="solid">
        <fgColor rgb="00FFB6C1"/>
        <bgColor rgb="00FFB6C1"/>
      </patternFill>
    </fill>
    <fill>
      <patternFill patternType="solid">
        <fgColor rgb="009966FF"/>
        <bgColor rgb="009966FF"/>
      </patternFill>
    </fill>
    <fill>
      <patternFill patternType="solid">
        <fgColor rgb="00FF6B6B"/>
        <bgColor rgb="00FF6B6B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9" fillId="7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0" pivotButton="0" quotePrefix="0" xfId="0"/>
    <xf numFmtId="0" fontId="11" fillId="2" borderId="0" pivotButton="0" quotePrefix="0" xfId="0"/>
    <xf numFmtId="0" fontId="7" fillId="0" borderId="0" pivotButton="0" quotePrefix="0" xfId="0"/>
    <xf numFmtId="0" fontId="1" fillId="8" borderId="0" pivotButton="0" quotePrefix="0" xfId="0"/>
    <xf numFmtId="0" fontId="12" fillId="0" borderId="0" pivotButton="0" quotePrefix="0" xfId="0"/>
    <xf numFmtId="0" fontId="11" fillId="9" borderId="0" pivotButton="0" quotePrefix="0" xfId="0"/>
    <xf numFmtId="0" fontId="13" fillId="0" borderId="0" pivotButton="0" quotePrefix="0" xfId="0"/>
    <xf numFmtId="0" fontId="3" fillId="2" borderId="0" pivotButton="0" quotePrefix="0" xfId="0"/>
    <xf numFmtId="9" fontId="0" fillId="0" borderId="0" pivotButton="0" quotePrefix="0" xfId="0"/>
    <xf numFmtId="164" fontId="0" fillId="0" borderId="0" pivotButton="0" quotePrefix="0" xfId="0"/>
    <xf numFmtId="0" fontId="3" fillId="3" borderId="0" pivotButton="0" quotePrefix="0" xfId="0"/>
    <xf numFmtId="2" fontId="0" fillId="0" borderId="0" pivotButton="0" quotePrefix="0" xfId="0"/>
    <xf numFmtId="0" fontId="1" fillId="0" borderId="0" pivotButton="0" quotePrefix="0" xfId="0"/>
    <xf numFmtId="0" fontId="2" fillId="4" borderId="0" pivotButton="0" quotePrefix="0" xfId="0"/>
    <xf numFmtId="0" fontId="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5" borderId="0" pivotButton="0" quotePrefix="0" xfId="0"/>
    <xf numFmtId="4" fontId="0" fillId="0" borderId="0" pivotButton="0" quotePrefix="0" xfId="0"/>
    <xf numFmtId="4" fontId="1" fillId="0" borderId="0" pivotButton="0" quotePrefix="0" xfId="0"/>
    <xf numFmtId="0" fontId="2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8" fillId="6" borderId="0" applyAlignment="1" pivotButton="0" quotePrefix="0" xfId="0">
      <alignment horizontal="center"/>
    </xf>
    <xf numFmtId="0" fontId="1" fillId="10" borderId="0" pivotButton="0" quotePrefix="0" xfId="0"/>
    <xf numFmtId="0" fontId="8" fillId="9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4" fillId="0" borderId="0" pivotButton="0" quotePrefix="0" xfId="0"/>
    <xf numFmtId="0" fontId="3" fillId="14" borderId="0" pivotButton="0" quotePrefix="0" xfId="0"/>
    <xf numFmtId="0" fontId="3" fillId="15" borderId="0" pivotButton="0" quotePrefix="0" xfId="0"/>
    <xf numFmtId="165" fontId="0" fillId="0" borderId="0" pivotButton="0" quotePrefix="0" xfId="0"/>
    <xf numFmtId="0" fontId="15" fillId="16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System</author>
  </authors>
  <commentList>
    <comment ref="A21" authorId="0" shapeId="0">
      <text>
        <t>NCI Structure:
Opening NCI
+ Share of Profit (from P&amp;L)
- Dividends to NCI
= Closing NCI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ADD8E6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RENEWABLE ENERGY CONSOLIDATION MODEL</t>
        </is>
      </c>
    </row>
    <row r="2">
      <c r="A2" s="2" t="inlineStr">
        <is>
          <t>Dashboard &amp; Control Panel</t>
        </is>
      </c>
    </row>
    <row r="3">
      <c r="A3" t="inlineStr">
        <is>
          <t>Report Generated:</t>
        </is>
      </c>
      <c r="B3" s="3" t="inlineStr">
        <is>
          <t>2026-03-17 11:10:09</t>
        </is>
      </c>
    </row>
    <row r="5">
      <c r="A5" s="4" t="inlineStr">
        <is>
          <t>REPORTING PERIOD SETTINGS</t>
        </is>
      </c>
    </row>
    <row r="7">
      <c r="A7" t="inlineStr">
        <is>
          <t>Current Period:</t>
        </is>
      </c>
      <c r="B7" t="inlineStr">
        <is>
          <t>Jan-2024</t>
        </is>
      </c>
      <c r="C7" s="5" t="inlineStr">
        <is>
          <t>[Use dropdown from Period_Control]</t>
        </is>
      </c>
    </row>
    <row r="8">
      <c r="A8" t="inlineStr">
        <is>
          <t>Comparison Period:</t>
        </is>
      </c>
      <c r="B8" t="inlineStr">
        <is>
          <t>Dec-2023</t>
        </is>
      </c>
      <c r="C8" s="5" t="inlineStr">
        <is>
          <t>[Use dropdown from Period_Control]</t>
        </is>
      </c>
    </row>
    <row r="9">
      <c r="A9" t="inlineStr">
        <is>
          <t>Display Mode:</t>
        </is>
      </c>
      <c r="B9" t="inlineStr">
        <is>
          <t>Monthly</t>
        </is>
      </c>
      <c r="C9" s="5" t="inlineStr">
        <is>
          <t>[Monthly/Quarterly/Annual]</t>
        </is>
      </c>
    </row>
    <row r="10">
      <c r="A10" t="inlineStr">
        <is>
          <t>Reporting Currency:</t>
        </is>
      </c>
      <c r="B10" t="inlineStr">
        <is>
          <t>INR</t>
        </is>
      </c>
    </row>
    <row r="12">
      <c r="A12" s="37" t="inlineStr">
        <is>
          <t>Validation Status:</t>
        </is>
      </c>
      <c r="B12">
        <f>Validation!G2</f>
        <v/>
      </c>
      <c r="C12">
        <f>IF(B12=0,"ALL CHECKS PASSED","ISSUES DETECTED")</f>
        <v/>
      </c>
    </row>
    <row r="14">
      <c r="A14" s="6" t="inlineStr">
        <is>
          <t>Metric</t>
        </is>
      </c>
      <c r="B14" s="6" t="inlineStr">
        <is>
          <t>Current</t>
        </is>
      </c>
      <c r="C14" s="6" t="inlineStr">
        <is>
          <t>Previous</t>
        </is>
      </c>
      <c r="D14" s="6" t="inlineStr">
        <is>
          <t>Change</t>
        </is>
      </c>
      <c r="E14" s="6" t="inlineStr">
        <is>
          <t>Change %</t>
        </is>
      </c>
      <c r="F14" s="6" t="n"/>
    </row>
    <row r="15">
      <c r="A15" t="inlineStr">
        <is>
          <t>Total Revenue</t>
        </is>
      </c>
      <c r="B15">
        <f>IFERROR(INDEX(Output_BS!$B$1:$B$1000,MATCH("Total Assets",Output_BS!$A$1:$A$1000,0)),0)</f>
        <v/>
      </c>
      <c r="C15">
        <f>IFERROR(INDEX(Output_BS!$C$1:$C$1000,MATCH("Total Assets",Output_BS!$A$1:$A$1000,0)),0)</f>
        <v/>
      </c>
      <c r="D15">
        <f>IFERROR(C15-B15,0)</f>
        <v/>
      </c>
      <c r="E15">
        <f>IFERROR(IF(B15&lt;&gt;0,D15/B15,0),0)</f>
        <v/>
      </c>
    </row>
    <row r="16">
      <c r="A16" t="inlineStr">
        <is>
          <t>EBITDA</t>
        </is>
      </c>
      <c r="B16">
        <f>IFERROR(INDEX(Output_PL!$B$1:$B$1000,MATCH("Total Revenue",Output_PL!$A$1:$A$1000,0)),0)</f>
        <v/>
      </c>
      <c r="C16">
        <f>IFERROR(INDEX(Output_PL!$C$1:$C$1000,MATCH("Total Revenue",Output_PL!$A$1:$A$1000,0)),0)</f>
        <v/>
      </c>
      <c r="D16">
        <f>IFERROR(C16-B16,0)</f>
        <v/>
      </c>
      <c r="E16">
        <f>IFERROR(IF(B16&lt;&gt;0,D16/B16,0),0)</f>
        <v/>
      </c>
    </row>
    <row r="17">
      <c r="A17" t="inlineStr">
        <is>
          <t>Profit before Tax</t>
        </is>
      </c>
      <c r="B17">
        <f>IFERROR(INDEX(Output_PL!$B$1:$B$1000,MATCH("EBITDA",Output_PL!$A$1:$A$1000,0)),0)</f>
        <v/>
      </c>
      <c r="C17">
        <f>IFERROR(INDEX(Output_PL!$C$1:$C$1000,MATCH("EBITDA",Output_PL!$A$1:$A$1000,0)),0)</f>
        <v/>
      </c>
      <c r="D17">
        <f>IFERROR(C17-B17,0)</f>
        <v/>
      </c>
      <c r="E17">
        <f>IFERROR(IF(B17&lt;&gt;0,D17/B17,0),0)</f>
        <v/>
      </c>
    </row>
    <row r="18">
      <c r="A18" t="inlineStr">
        <is>
          <t>Profit after Tax</t>
        </is>
      </c>
      <c r="B18">
        <f>IFERROR(INDEX(Output_PL!$B$1:$B$1000,MATCH("Profit for the Year",Output_PL!$A$1:$A$1000,0)),0)</f>
        <v/>
      </c>
      <c r="C18">
        <f>IFERROR(INDEX(Output_PL!$C$1:$C$1000,MATCH("Profit for the Year",Output_PL!$A$1:$A$1000,0)),0)</f>
        <v/>
      </c>
      <c r="D18">
        <f>IFERROR(C18-B18,0)</f>
        <v/>
      </c>
      <c r="E18">
        <f>IFERROR(IF(B18&lt;&gt;0,D18/B18,0),0)</f>
        <v/>
      </c>
    </row>
    <row r="19">
      <c r="A19" t="inlineStr">
        <is>
          <t>Total Assets</t>
        </is>
      </c>
      <c r="B19">
        <f>IFERROR(INDEX(Output_CF!$B$1:$B$1000,MATCH("Net Cash from Operating Activities",Output_CF!$A$1:$A$1000,0)),0)</f>
        <v/>
      </c>
      <c r="C19">
        <f>IFERROR(INDEX(Output_CF!$C$1:$C$1000,MATCH("Net Cash from Operating Activities",Output_CF!$A$1:$A$1000,0)),0)</f>
        <v/>
      </c>
      <c r="D19">
        <f>IFERROR(C19-B19,0)</f>
        <v/>
      </c>
      <c r="E19">
        <f>IFERROR(IF(B19&lt;&gt;0,D19/B19,0),0)</f>
        <v/>
      </c>
    </row>
    <row r="20">
      <c r="A20" t="inlineStr">
        <is>
          <t>Total Equity</t>
        </is>
      </c>
      <c r="B20">
        <f>IFERROR(INDEX(Output_BS!$B$1:$B$1000,MATCH("Total Equity",Output_BS!$A$1:$A$1000,0)),0)</f>
        <v/>
      </c>
      <c r="C20">
        <f>IFERROR(INDEX(Output_BS!$C$1:$C$1000,MATCH("Total Equity",Output_BS!$A$1:$A$1000,0)),0)</f>
        <v/>
      </c>
      <c r="D20">
        <f>IFERROR(C20-B20,0)</f>
        <v/>
      </c>
      <c r="E20">
        <f>IFERROR(IF(B20&lt;&gt;0,D20/B20,0),0)</f>
        <v/>
      </c>
    </row>
    <row r="21">
      <c r="A21" t="inlineStr">
        <is>
          <t>Net Debt</t>
        </is>
      </c>
    </row>
    <row r="23">
      <c r="A23" s="4" t="inlineStr">
        <is>
          <t>NAVIGATION</t>
        </is>
      </c>
    </row>
    <row r="25">
      <c r="A25" s="7" t="inlineStr">
        <is>
          <t>Go to Entity Master</t>
        </is>
      </c>
    </row>
    <row r="26">
      <c r="A26" s="7" t="inlineStr">
        <is>
          <t>Go to Asset Master</t>
        </is>
      </c>
    </row>
    <row r="27">
      <c r="A27" s="7" t="inlineStr">
        <is>
          <t>Go to TB Input</t>
        </is>
      </c>
    </row>
    <row r="28">
      <c r="A28" s="7" t="inlineStr">
        <is>
          <t>Go to Balance Sheet</t>
        </is>
      </c>
    </row>
    <row r="29">
      <c r="A29" s="7" t="inlineStr">
        <is>
          <t>Go to P&amp;L Statement</t>
        </is>
      </c>
    </row>
    <row r="30">
      <c r="A30" s="7" t="inlineStr">
        <is>
          <t>Go to Cash Flow</t>
        </is>
      </c>
    </row>
    <row r="31">
      <c r="A31" s="7" t="inlineStr">
        <is>
          <t>Go to Validation</t>
        </is>
      </c>
    </row>
    <row r="33">
      <c r="A33" s="8" t="inlineStr">
        <is>
          <t>VALIDATION STATUS</t>
        </is>
      </c>
    </row>
    <row r="35">
      <c r="A35" t="inlineStr">
        <is>
          <t>Validation Checks Failed:</t>
        </is>
      </c>
      <c r="B35" s="9" t="inlineStr">
        <is>
          <t>0</t>
        </is>
      </c>
      <c r="C35" s="3" t="inlineStr">
        <is>
          <t>[All checks passed]</t>
        </is>
      </c>
    </row>
  </sheetData>
  <mergeCells count="5">
    <mergeCell ref="A2:F2"/>
    <mergeCell ref="A33:F33"/>
    <mergeCell ref="A1:F1"/>
    <mergeCell ref="A23:F23"/>
    <mergeCell ref="A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0EE90"/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5" customWidth="1" min="4" max="4"/>
    <col width="15" customWidth="1" min="5" max="5"/>
    <col width="20" customWidth="1" min="6" max="6"/>
    <col width="20" customWidth="1" min="7" max="7"/>
    <col width="30" customWidth="1" min="8" max="8"/>
    <col width="18" customWidth="1" min="9" max="9"/>
    <col width="15" customWidth="1" min="10" max="10"/>
    <col width="18" customWidth="1" min="11" max="11"/>
    <col width="18" customWidth="1" min="12" max="12"/>
    <col width="40" customWidth="1" min="13" max="13"/>
  </cols>
  <sheetData>
    <row r="1">
      <c r="A1" s="10" t="inlineStr">
        <is>
          <t>Entity_ID</t>
        </is>
      </c>
      <c r="B1" s="10" t="inlineStr">
        <is>
          <t>Entity_Name</t>
        </is>
      </c>
      <c r="C1" s="10" t="inlineStr">
        <is>
          <t>Entity_Type</t>
        </is>
      </c>
      <c r="D1" s="10" t="inlineStr">
        <is>
          <t>Parent_Entity_ID</t>
        </is>
      </c>
      <c r="E1" s="10" t="inlineStr">
        <is>
          <t>Ownership_%</t>
        </is>
      </c>
      <c r="F1" s="10" t="inlineStr">
        <is>
          <t>Effective_Ownership_%</t>
        </is>
      </c>
      <c r="G1" s="10" t="inlineStr">
        <is>
          <t>Consolidation_Method</t>
        </is>
      </c>
      <c r="H1" s="10" t="inlineStr">
        <is>
          <t>Principal_Activity</t>
        </is>
      </c>
      <c r="I1" s="10" t="inlineStr">
        <is>
          <t>Incorporation_Date</t>
        </is>
      </c>
      <c r="J1" s="10" t="inlineStr">
        <is>
          <t>Active_Status</t>
        </is>
      </c>
      <c r="K1" s="10" t="inlineStr">
        <is>
          <t>Reporting_Currency</t>
        </is>
      </c>
      <c r="L1" s="10" t="inlineStr">
        <is>
          <t>Primary_Segment</t>
        </is>
      </c>
      <c r="M1" s="10" t="inlineStr">
        <is>
          <t>Notes</t>
        </is>
      </c>
    </row>
    <row r="2">
      <c r="A2" t="inlineStr">
        <is>
          <t>E001</t>
        </is>
      </c>
      <c r="B2" t="inlineStr">
        <is>
          <t>Parent Renewable Ltd</t>
        </is>
      </c>
      <c r="C2" t="inlineStr">
        <is>
          <t>Parent</t>
        </is>
      </c>
      <c r="D2" t="inlineStr">
        <is>
          <t>-</t>
        </is>
      </c>
      <c r="E2" s="11" t="n">
        <v>1</v>
      </c>
      <c r="F2" s="11" t="n">
        <v>1</v>
      </c>
      <c r="G2" t="inlineStr">
        <is>
          <t>Full</t>
        </is>
      </c>
      <c r="H2" t="inlineStr">
        <is>
          <t>EPC &amp; Power Generation</t>
        </is>
      </c>
      <c r="I2" s="12" t="n">
        <v>40179</v>
      </c>
      <c r="J2" t="inlineStr">
        <is>
          <t>Active</t>
        </is>
      </c>
      <c r="K2" t="inlineStr">
        <is>
          <t>INR</t>
        </is>
      </c>
      <c r="L2" t="inlineStr">
        <is>
          <t>EPC</t>
        </is>
      </c>
    </row>
    <row r="3">
      <c r="A3" t="inlineStr">
        <is>
          <t>E002</t>
        </is>
      </c>
      <c r="B3" t="inlineStr">
        <is>
          <t>Solar SPV 1 Ltd</t>
        </is>
      </c>
      <c r="C3" t="inlineStr">
        <is>
          <t>SPV</t>
        </is>
      </c>
      <c r="D3" t="inlineStr">
        <is>
          <t>E001</t>
        </is>
      </c>
      <c r="E3" s="11" t="n">
        <v>1</v>
      </c>
      <c r="F3" s="11" t="n">
        <v>1</v>
      </c>
      <c r="G3" t="inlineStr">
        <is>
          <t>Full</t>
        </is>
      </c>
      <c r="H3" t="inlineStr">
        <is>
          <t>Solar Power Generation</t>
        </is>
      </c>
      <c r="I3" s="12" t="n">
        <v>43922</v>
      </c>
      <c r="J3" t="inlineStr">
        <is>
          <t>Active</t>
        </is>
      </c>
      <c r="K3" t="inlineStr">
        <is>
          <t>INR</t>
        </is>
      </c>
      <c r="L3" t="inlineStr">
        <is>
          <t>Power Generation</t>
        </is>
      </c>
      <c r="M3" t="inlineStr">
        <is>
          <t>100% owned</t>
        </is>
      </c>
    </row>
    <row r="4">
      <c r="A4" t="inlineStr">
        <is>
          <t>E003</t>
        </is>
      </c>
      <c r="B4" t="inlineStr">
        <is>
          <t>Solar SPV 2 Ltd</t>
        </is>
      </c>
      <c r="C4" t="inlineStr">
        <is>
          <t>SPV</t>
        </is>
      </c>
      <c r="D4" t="inlineStr">
        <is>
          <t>E001</t>
        </is>
      </c>
      <c r="E4" s="11" t="n">
        <v>0.6</v>
      </c>
      <c r="F4" s="11" t="n">
        <v>0.6</v>
      </c>
      <c r="G4" t="inlineStr">
        <is>
          <t>Full</t>
        </is>
      </c>
      <c r="H4" t="inlineStr">
        <is>
          <t>Solar Power Generation</t>
        </is>
      </c>
      <c r="I4" s="12" t="n">
        <v>44757</v>
      </c>
      <c r="J4" t="inlineStr">
        <is>
          <t>Active</t>
        </is>
      </c>
      <c r="K4" t="inlineStr">
        <is>
          <t>INR</t>
        </is>
      </c>
      <c r="L4" t="inlineStr">
        <is>
          <t>Power Generation</t>
        </is>
      </c>
      <c r="M4" t="inlineStr">
        <is>
          <t>60% owned, 40% NCI</t>
        </is>
      </c>
    </row>
    <row r="5">
      <c r="A5" t="inlineStr">
        <is>
          <t>E004</t>
        </is>
      </c>
      <c r="B5" t="inlineStr">
        <is>
          <t>Wind JV Pvt Ltd</t>
        </is>
      </c>
      <c r="C5" t="inlineStr">
        <is>
          <t>JV</t>
        </is>
      </c>
      <c r="D5" t="inlineStr">
        <is>
          <t>E001</t>
        </is>
      </c>
      <c r="E5" s="11" t="n">
        <v>0.5</v>
      </c>
      <c r="F5" s="11" t="n">
        <v>0.5</v>
      </c>
      <c r="G5" t="inlineStr">
        <is>
          <t>Equity</t>
        </is>
      </c>
      <c r="H5" t="inlineStr">
        <is>
          <t>Wind Power Generation</t>
        </is>
      </c>
      <c r="I5" s="12" t="n">
        <v>44256</v>
      </c>
      <c r="J5" t="inlineStr">
        <is>
          <t>Active</t>
        </is>
      </c>
      <c r="K5" t="inlineStr">
        <is>
          <t>INR</t>
        </is>
      </c>
      <c r="L5" t="inlineStr">
        <is>
          <t>Power Generation</t>
        </is>
      </c>
      <c r="M5" t="inlineStr">
        <is>
          <t>Joint Venture</t>
        </is>
      </c>
    </row>
    <row r="6">
      <c r="A6" t="inlineStr">
        <is>
          <t>E005</t>
        </is>
      </c>
      <c r="B6" t="inlineStr">
        <is>
          <t>Biogas Associate Ltd</t>
        </is>
      </c>
      <c r="C6" t="inlineStr">
        <is>
          <t>Associate</t>
        </is>
      </c>
      <c r="D6" t="inlineStr">
        <is>
          <t>E001</t>
        </is>
      </c>
      <c r="E6" s="11" t="n">
        <v>0.26</v>
      </c>
      <c r="F6" s="11" t="n">
        <v>0.26</v>
      </c>
      <c r="G6" t="inlineStr">
        <is>
          <t>Equity</t>
        </is>
      </c>
      <c r="H6" t="inlineStr">
        <is>
          <t>Biogas Power Generation</t>
        </is>
      </c>
      <c r="I6" s="12" t="n">
        <v>43709</v>
      </c>
      <c r="J6" t="inlineStr">
        <is>
          <t>Active</t>
        </is>
      </c>
      <c r="K6" t="inlineStr">
        <is>
          <t>INR</t>
        </is>
      </c>
      <c r="L6" t="inlineStr">
        <is>
          <t>Power Generation</t>
        </is>
      </c>
      <c r="M6" t="inlineStr">
        <is>
          <t>Associate 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0EE90"/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5" customWidth="1" min="5" max="5"/>
    <col width="15" customWidth="1" min="6" max="6"/>
    <col width="15" customWidth="1" min="7" max="7"/>
    <col width="12" customWidth="1" min="8" max="8"/>
    <col width="25" customWidth="1" min="9" max="9"/>
    <col width="15" customWidth="1" min="10" max="10"/>
    <col width="15" customWidth="1" min="11" max="11"/>
    <col width="15" customWidth="1" min="12" max="12"/>
    <col width="12" customWidth="1" min="13" max="13"/>
    <col width="15" customWidth="1" min="14" max="14"/>
    <col width="18" customWidth="1" min="15" max="15"/>
    <col width="18" customWidth="1" min="16" max="16"/>
    <col width="40" customWidth="1" min="17" max="17"/>
  </cols>
  <sheetData>
    <row r="1">
      <c r="A1" s="13" t="inlineStr">
        <is>
          <t>Asset_ID</t>
        </is>
      </c>
      <c r="B1" s="13" t="inlineStr">
        <is>
          <t>Asset_Name</t>
        </is>
      </c>
      <c r="C1" s="13" t="inlineStr">
        <is>
          <t>Entity_ID</t>
        </is>
      </c>
      <c r="D1" s="13" t="inlineStr">
        <is>
          <t>Category</t>
        </is>
      </c>
      <c r="E1" s="13" t="inlineStr">
        <is>
          <t>Type</t>
        </is>
      </c>
      <c r="F1" s="13" t="inlineStr">
        <is>
          <t>Sub_Type</t>
        </is>
      </c>
      <c r="G1" s="13" t="inlineStr">
        <is>
          <t>Capacity_MW</t>
        </is>
      </c>
      <c r="H1" s="13" t="inlineStr">
        <is>
          <t>Capacity_Unit</t>
        </is>
      </c>
      <c r="I1" s="13" t="inlineStr">
        <is>
          <t>Location</t>
        </is>
      </c>
      <c r="J1" s="13" t="inlineStr">
        <is>
          <t>COD_Date</t>
        </is>
      </c>
      <c r="K1" s="13" t="inlineStr">
        <is>
          <t>Asset_Status</t>
        </is>
      </c>
      <c r="L1" s="13" t="inlineStr">
        <is>
          <t>Customer_Type</t>
        </is>
      </c>
      <c r="M1" s="13" t="inlineStr">
        <is>
          <t>PPA_Rate</t>
        </is>
      </c>
      <c r="N1" s="13" t="inlineStr">
        <is>
          <t>PPA_Term_Years</t>
        </is>
      </c>
      <c r="O1" s="13" t="inlineStr">
        <is>
          <t>Estimated_Cost_Cr</t>
        </is>
      </c>
      <c r="P1" s="13" t="inlineStr">
        <is>
          <t>Debt_Equity_Ratio</t>
        </is>
      </c>
      <c r="Q1" s="13" t="inlineStr">
        <is>
          <t>Notes</t>
        </is>
      </c>
    </row>
    <row r="2">
      <c r="A2" t="inlineStr">
        <is>
          <t>A001</t>
        </is>
      </c>
      <c r="B2" t="inlineStr">
        <is>
          <t>Mumbai Rooftop Solar Project</t>
        </is>
      </c>
      <c r="C2" t="inlineStr">
        <is>
          <t>E002</t>
        </is>
      </c>
      <c r="D2" t="inlineStr">
        <is>
          <t>Solar</t>
        </is>
      </c>
      <c r="E2" t="inlineStr">
        <is>
          <t>Rooftop</t>
        </is>
      </c>
      <c r="F2" t="inlineStr">
        <is>
          <t>C&amp;I</t>
        </is>
      </c>
      <c r="G2" s="14" t="n">
        <v>10</v>
      </c>
      <c r="H2" t="inlineStr">
        <is>
          <t>MW</t>
        </is>
      </c>
      <c r="I2" t="inlineStr">
        <is>
          <t>Maharashtra, Mumbai</t>
        </is>
      </c>
      <c r="J2" s="12" t="n">
        <v>44362</v>
      </c>
      <c r="K2" t="inlineStr">
        <is>
          <t>Operational</t>
        </is>
      </c>
      <c r="L2" t="inlineStr">
        <is>
          <t>C&amp;I</t>
        </is>
      </c>
      <c r="M2" s="14" t="n">
        <v>4.5</v>
      </c>
      <c r="N2" t="n">
        <v>25</v>
      </c>
      <c r="O2" s="14" t="n">
        <v>60</v>
      </c>
      <c r="P2" t="inlineStr">
        <is>
          <t>70:30</t>
        </is>
      </c>
      <c r="Q2" t="inlineStr">
        <is>
          <t>Commissioned June 2021</t>
        </is>
      </c>
    </row>
    <row r="3">
      <c r="A3" t="inlineStr">
        <is>
          <t>A002</t>
        </is>
      </c>
      <c r="B3" t="inlineStr">
        <is>
          <t>Gujarat Utility Solar Plant</t>
        </is>
      </c>
      <c r="C3" t="inlineStr">
        <is>
          <t>E003</t>
        </is>
      </c>
      <c r="D3" t="inlineStr">
        <is>
          <t>Solar</t>
        </is>
      </c>
      <c r="E3" t="inlineStr">
        <is>
          <t>Utility Scale</t>
        </is>
      </c>
      <c r="F3" t="inlineStr">
        <is>
          <t>PSU Direct</t>
        </is>
      </c>
      <c r="G3" s="14" t="n">
        <v>50</v>
      </c>
      <c r="H3" t="inlineStr">
        <is>
          <t>MW</t>
        </is>
      </c>
      <c r="I3" t="inlineStr">
        <is>
          <t>Gujarat, Kutch</t>
        </is>
      </c>
      <c r="J3" s="12" t="n">
        <v>44986</v>
      </c>
      <c r="K3" t="inlineStr">
        <is>
          <t>Operational</t>
        </is>
      </c>
      <c r="L3" t="inlineStr">
        <is>
          <t>PSU</t>
        </is>
      </c>
      <c r="M3" s="14" t="n">
        <v>2.8</v>
      </c>
      <c r="N3" t="n">
        <v>25</v>
      </c>
      <c r="O3" s="14" t="n">
        <v>250</v>
      </c>
      <c r="P3" t="inlineStr">
        <is>
          <t>75:25</t>
        </is>
      </c>
      <c r="Q3" t="inlineStr">
        <is>
          <t>Feed-in to state grid</t>
        </is>
      </c>
    </row>
    <row r="4">
      <c r="A4" t="inlineStr">
        <is>
          <t>A003</t>
        </is>
      </c>
      <c r="B4" t="inlineStr">
        <is>
          <t>Pune BESS Project</t>
        </is>
      </c>
      <c r="C4" t="inlineStr">
        <is>
          <t>E002</t>
        </is>
      </c>
      <c r="D4" t="inlineStr">
        <is>
          <t>BESS</t>
        </is>
      </c>
      <c r="E4" t="inlineStr">
        <is>
          <t>Standalone</t>
        </is>
      </c>
      <c r="F4" t="inlineStr">
        <is>
          <t>-</t>
        </is>
      </c>
      <c r="G4" s="14" t="n">
        <v>10</v>
      </c>
      <c r="H4" t="inlineStr">
        <is>
          <t>MWh</t>
        </is>
      </c>
      <c r="I4" t="inlineStr">
        <is>
          <t>Maharashtra, Pune</t>
        </is>
      </c>
      <c r="K4" t="inlineStr">
        <is>
          <t>CWIP</t>
        </is>
      </c>
      <c r="L4" t="inlineStr">
        <is>
          <t>C&amp;I</t>
        </is>
      </c>
      <c r="M4" s="14" t="n">
        <v>0</v>
      </c>
      <c r="N4" t="n">
        <v>10</v>
      </c>
      <c r="O4" s="14" t="n">
        <v>80</v>
      </c>
      <c r="P4" t="inlineStr">
        <is>
          <t>60:40</t>
        </is>
      </c>
      <c r="Q4" t="inlineStr">
        <is>
          <t>Under construction</t>
        </is>
      </c>
    </row>
    <row r="5">
      <c r="A5" t="inlineStr">
        <is>
          <t>A004</t>
        </is>
      </c>
      <c r="B5" t="inlineStr">
        <is>
          <t>CBG Plant - Sangli</t>
        </is>
      </c>
      <c r="C5" t="inlineStr">
        <is>
          <t>E005</t>
        </is>
      </c>
      <c r="D5" t="inlineStr">
        <is>
          <t>Biogas</t>
        </is>
      </c>
      <c r="E5" t="inlineStr">
        <is>
          <t>CBG Plants</t>
        </is>
      </c>
      <c r="F5" t="inlineStr">
        <is>
          <t>-</t>
        </is>
      </c>
      <c r="G5" s="14" t="n">
        <v>5</v>
      </c>
      <c r="H5" t="inlineStr">
        <is>
          <t>TPD</t>
        </is>
      </c>
      <c r="I5" t="inlineStr">
        <is>
          <t>Maharashtra, Sangli</t>
        </is>
      </c>
      <c r="J5" s="12" t="n">
        <v>44136</v>
      </c>
      <c r="K5" t="inlineStr">
        <is>
          <t>Operational</t>
        </is>
      </c>
      <c r="L5" t="inlineStr">
        <is>
          <t>Merchant</t>
        </is>
      </c>
      <c r="M5" s="14" t="n">
        <v>0</v>
      </c>
      <c r="N5" t="n">
        <v>0</v>
      </c>
      <c r="O5" s="14" t="n">
        <v>15</v>
      </c>
      <c r="P5" t="inlineStr">
        <is>
          <t>50:50</t>
        </is>
      </c>
      <c r="Q5" t="inlineStr">
        <is>
          <t>Compressed biogas production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3D3D3"/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15" t="inlineStr">
        <is>
          <t>Entity_Types</t>
        </is>
      </c>
      <c r="B1" s="15" t="inlineStr">
        <is>
          <t>Asset_Category</t>
        </is>
      </c>
      <c r="C1" s="15" t="inlineStr">
        <is>
          <t>Solar_Type</t>
        </is>
      </c>
      <c r="D1" s="15" t="inlineStr">
        <is>
          <t>Rooftop_SubType</t>
        </is>
      </c>
      <c r="E1" s="15" t="inlineStr">
        <is>
          <t>UtilityScale_SubType</t>
        </is>
      </c>
      <c r="F1" s="15" t="inlineStr">
        <is>
          <t>Biogas_Type</t>
        </is>
      </c>
      <c r="G1" s="15" t="inlineStr">
        <is>
          <t>BESS_Type</t>
        </is>
      </c>
      <c r="H1" s="15" t="inlineStr">
        <is>
          <t>Asset_Status</t>
        </is>
      </c>
      <c r="I1" s="15" t="inlineStr">
        <is>
          <t>Customer_Type</t>
        </is>
      </c>
      <c r="J1" s="15" t="inlineStr">
        <is>
          <t>Active_Status</t>
        </is>
      </c>
      <c r="K1" s="15" t="inlineStr">
        <is>
          <t>Currency_List</t>
        </is>
      </c>
      <c r="L1" s="15" t="inlineStr">
        <is>
          <t>Consolidation_Method</t>
        </is>
      </c>
      <c r="M1" s="15" t="inlineStr">
        <is>
          <t>Business_Segment</t>
        </is>
      </c>
      <c r="N1" s="15" t="inlineStr">
        <is>
          <t>Period_Month</t>
        </is>
      </c>
      <c r="O1" s="15" t="inlineStr">
        <is>
          <t>Period_Quarter</t>
        </is>
      </c>
      <c r="P1" s="15" t="inlineStr">
        <is>
          <t>Period_Year</t>
        </is>
      </c>
    </row>
    <row r="2">
      <c r="A2" t="inlineStr">
        <is>
          <t>Parent</t>
        </is>
      </c>
      <c r="B2" t="inlineStr">
        <is>
          <t>Solar</t>
        </is>
      </c>
      <c r="C2" t="inlineStr">
        <is>
          <t>Rooftop</t>
        </is>
      </c>
      <c r="D2" t="inlineStr">
        <is>
          <t>C&amp;I</t>
        </is>
      </c>
      <c r="E2" t="inlineStr">
        <is>
          <t>C&amp;I</t>
        </is>
      </c>
      <c r="F2" t="inlineStr">
        <is>
          <t>CBG Plants</t>
        </is>
      </c>
      <c r="G2" t="inlineStr">
        <is>
          <t>Standalone</t>
        </is>
      </c>
      <c r="H2" t="inlineStr">
        <is>
          <t>CWIP</t>
        </is>
      </c>
      <c r="I2" t="inlineStr">
        <is>
          <t>Discom</t>
        </is>
      </c>
      <c r="J2" t="inlineStr">
        <is>
          <t>Active</t>
        </is>
      </c>
      <c r="K2" t="inlineStr">
        <is>
          <t>INR</t>
        </is>
      </c>
      <c r="L2" t="inlineStr">
        <is>
          <t>Full</t>
        </is>
      </c>
      <c r="M2" t="inlineStr">
        <is>
          <t>EPC</t>
        </is>
      </c>
      <c r="N2" t="inlineStr">
        <is>
          <t>Jan-2024</t>
        </is>
      </c>
      <c r="O2" t="inlineStr">
        <is>
          <t>Q1-FY24</t>
        </is>
      </c>
      <c r="P2" t="inlineStr">
        <is>
          <t>FY2024</t>
        </is>
      </c>
    </row>
    <row r="3">
      <c r="A3" t="inlineStr">
        <is>
          <t>SPV</t>
        </is>
      </c>
      <c r="B3" t="inlineStr">
        <is>
          <t>Biogas</t>
        </is>
      </c>
      <c r="C3" t="inlineStr">
        <is>
          <t>Utility Scale</t>
        </is>
      </c>
      <c r="D3" t="inlineStr">
        <is>
          <t>Residential</t>
        </is>
      </c>
      <c r="E3" t="inlineStr">
        <is>
          <t>Govt/PSU Direct</t>
        </is>
      </c>
      <c r="F3" t="inlineStr">
        <is>
          <t>Portable Units</t>
        </is>
      </c>
      <c r="G3" t="inlineStr">
        <is>
          <t>Solar + BESS</t>
        </is>
      </c>
      <c r="H3" t="inlineStr">
        <is>
          <t>Operational</t>
        </is>
      </c>
      <c r="I3" t="inlineStr">
        <is>
          <t>PSU</t>
        </is>
      </c>
      <c r="J3" t="inlineStr">
        <is>
          <t>Inactive</t>
        </is>
      </c>
      <c r="K3" t="inlineStr">
        <is>
          <t>USD</t>
        </is>
      </c>
      <c r="L3" t="inlineStr">
        <is>
          <t>Equity</t>
        </is>
      </c>
      <c r="M3" t="inlineStr">
        <is>
          <t>Power Generation</t>
        </is>
      </c>
      <c r="N3" t="inlineStr">
        <is>
          <t>Feb-2024</t>
        </is>
      </c>
      <c r="O3" t="inlineStr">
        <is>
          <t>Q2-FY24</t>
        </is>
      </c>
      <c r="P3" t="inlineStr">
        <is>
          <t>FY2025</t>
        </is>
      </c>
    </row>
    <row r="4">
      <c r="A4" t="inlineStr">
        <is>
          <t>JV</t>
        </is>
      </c>
      <c r="B4" t="inlineStr">
        <is>
          <t>BESS</t>
        </is>
      </c>
      <c r="C4" t="inlineStr">
        <is>
          <t>Floating Solar</t>
        </is>
      </c>
      <c r="D4" t="inlineStr">
        <is>
          <t>Govt/PSU</t>
        </is>
      </c>
      <c r="E4" t="inlineStr">
        <is>
          <t>Subcontract</t>
        </is>
      </c>
      <c r="F4" t="inlineStr">
        <is>
          <t>Gas Upgradation</t>
        </is>
      </c>
      <c r="G4" t="inlineStr">
        <is>
          <t>Others</t>
        </is>
      </c>
      <c r="H4" t="inlineStr">
        <is>
          <t>Disposed</t>
        </is>
      </c>
      <c r="I4" t="inlineStr">
        <is>
          <t>C&amp;I</t>
        </is>
      </c>
      <c r="J4" t="inlineStr">
        <is>
          <t>Disposed</t>
        </is>
      </c>
      <c r="K4" t="inlineStr">
        <is>
          <t>EUR</t>
        </is>
      </c>
      <c r="L4" t="inlineStr">
        <is>
          <t>None</t>
        </is>
      </c>
      <c r="M4" t="inlineStr">
        <is>
          <t>O&amp;M Services</t>
        </is>
      </c>
      <c r="N4" t="inlineStr">
        <is>
          <t>Mar-2024</t>
        </is>
      </c>
      <c r="O4" t="inlineStr">
        <is>
          <t>Q3-FY24</t>
        </is>
      </c>
    </row>
    <row r="5">
      <c r="A5" t="inlineStr">
        <is>
          <t>Associate</t>
        </is>
      </c>
      <c r="B5" t="inlineStr">
        <is>
          <t>Hybrid</t>
        </is>
      </c>
      <c r="C5" t="inlineStr">
        <is>
          <t>Solar Water Pumping</t>
        </is>
      </c>
      <c r="D5" t="inlineStr">
        <is>
          <t>Others</t>
        </is>
      </c>
      <c r="E5" t="inlineStr">
        <is>
          <t>Merchant</t>
        </is>
      </c>
      <c r="F5" t="inlineStr">
        <is>
          <t>Rehab Plants</t>
        </is>
      </c>
      <c r="I5" t="inlineStr">
        <is>
          <t>Captive</t>
        </is>
      </c>
      <c r="M5" t="inlineStr">
        <is>
          <t>Product Sales</t>
        </is>
      </c>
      <c r="N5" t="inlineStr">
        <is>
          <t>Apr-2024</t>
        </is>
      </c>
      <c r="O5" t="inlineStr">
        <is>
          <t>Q4-FY24</t>
        </is>
      </c>
    </row>
    <row r="6">
      <c r="B6" t="inlineStr">
        <is>
          <t>Wind</t>
        </is>
      </c>
      <c r="C6" t="inlineStr">
        <is>
          <t>Others</t>
        </is>
      </c>
      <c r="E6" t="inlineStr">
        <is>
          <t>Others</t>
        </is>
      </c>
      <c r="F6" t="inlineStr">
        <is>
          <t>Others</t>
        </is>
      </c>
      <c r="I6" t="inlineStr">
        <is>
          <t>Merchant</t>
        </is>
      </c>
      <c r="M6" t="inlineStr">
        <is>
          <t>Others</t>
        </is>
      </c>
      <c r="N6" t="inlineStr">
        <is>
          <t>May-2024</t>
        </is>
      </c>
    </row>
    <row r="7">
      <c r="B7" t="inlineStr">
        <is>
          <t>Others</t>
        </is>
      </c>
      <c r="N7" t="inlineStr">
        <is>
          <t>Jun-2024</t>
        </is>
      </c>
    </row>
    <row r="8">
      <c r="N8" t="inlineStr">
        <is>
          <t>Jul-2024</t>
        </is>
      </c>
    </row>
    <row r="9">
      <c r="N9" t="inlineStr">
        <is>
          <t>Aug-2024</t>
        </is>
      </c>
    </row>
    <row r="10">
      <c r="N10" t="inlineStr">
        <is>
          <t>Sep-2024</t>
        </is>
      </c>
    </row>
    <row r="11">
      <c r="N11" t="inlineStr">
        <is>
          <t>Oct-2024</t>
        </is>
      </c>
    </row>
    <row r="12">
      <c r="N12" t="inlineStr">
        <is>
          <t>Nov-2024</t>
        </is>
      </c>
    </row>
    <row r="13">
      <c r="N13" t="inlineStr">
        <is>
          <t>Dec-2024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FFE0"/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20" customWidth="1" min="4" max="4"/>
    <col width="15" customWidth="1" min="5" max="5"/>
    <col width="12" customWidth="1" min="6" max="6"/>
    <col width="30" customWidth="1" min="7" max="7"/>
    <col width="15" customWidth="1" min="8" max="8"/>
    <col width="15" customWidth="1" min="9" max="9"/>
    <col width="15" customWidth="1" min="10" max="10"/>
    <col width="12" customWidth="1" min="11" max="11"/>
    <col width="30" customWidth="1" min="12" max="12"/>
  </cols>
  <sheetData>
    <row r="1">
      <c r="A1" s="16" t="inlineStr">
        <is>
          <t>FS_Line_Code</t>
        </is>
      </c>
      <c r="B1" s="16" t="inlineStr">
        <is>
          <t>FS_Line_Name</t>
        </is>
      </c>
      <c r="C1" s="16" t="inlineStr">
        <is>
          <t>FS_Section</t>
        </is>
      </c>
      <c r="D1" s="16" t="inlineStr">
        <is>
          <t>FS_Sub_Section</t>
        </is>
      </c>
      <c r="E1" s="16" t="inlineStr">
        <is>
          <t>Display_Order</t>
        </is>
      </c>
      <c r="F1" s="16" t="inlineStr">
        <is>
          <t>Indent_Level</t>
        </is>
      </c>
      <c r="G1" s="16" t="inlineStr">
        <is>
          <t>Account_Pattern</t>
        </is>
      </c>
      <c r="H1" s="16" t="inlineStr">
        <is>
          <t>Account_Nature</t>
        </is>
      </c>
      <c r="I1" s="16" t="inlineStr">
        <is>
          <t>Rollup_Parent</t>
        </is>
      </c>
      <c r="J1" s="16" t="inlineStr">
        <is>
          <t>Include_in_Total</t>
        </is>
      </c>
      <c r="K1" s="16" t="inlineStr">
        <is>
          <t>Bold_Format</t>
        </is>
      </c>
      <c r="L1" s="16" t="inlineStr">
        <is>
          <t>Notes</t>
        </is>
      </c>
    </row>
    <row r="2">
      <c r="A2" t="inlineStr">
        <is>
          <t>BS_A_000</t>
        </is>
      </c>
      <c r="B2" t="inlineStr">
        <is>
          <t>TOTAL ASSETS</t>
        </is>
      </c>
      <c r="C2" t="inlineStr">
        <is>
          <t>Assets</t>
        </is>
      </c>
      <c r="D2" t="inlineStr">
        <is>
          <t>Total</t>
        </is>
      </c>
      <c r="E2" t="n">
        <v>1000</v>
      </c>
      <c r="F2" t="n">
        <v>0</v>
      </c>
      <c r="H2" t="inlineStr">
        <is>
          <t>Debit</t>
        </is>
      </c>
      <c r="J2" t="inlineStr">
        <is>
          <t>Yes</t>
        </is>
      </c>
      <c r="K2" t="inlineStr">
        <is>
          <t>Yes</t>
        </is>
      </c>
      <c r="L2" t="inlineStr">
        <is>
          <t>Top level total</t>
        </is>
      </c>
    </row>
    <row r="3">
      <c r="A3" t="inlineStr">
        <is>
          <t>BS_A_100</t>
        </is>
      </c>
      <c r="B3" t="inlineStr">
        <is>
          <t>Non-Current Assets</t>
        </is>
      </c>
      <c r="C3" t="inlineStr">
        <is>
          <t>Assets</t>
        </is>
      </c>
      <c r="D3" t="inlineStr">
        <is>
          <t>Non-Current</t>
        </is>
      </c>
      <c r="E3" t="n">
        <v>100</v>
      </c>
      <c r="F3" t="n">
        <v>1</v>
      </c>
      <c r="H3" t="inlineStr">
        <is>
          <t>Debit</t>
        </is>
      </c>
      <c r="I3" t="inlineStr">
        <is>
          <t>BS_A_000</t>
        </is>
      </c>
      <c r="J3" t="inlineStr">
        <is>
          <t>Yes</t>
        </is>
      </c>
      <c r="K3" t="inlineStr">
        <is>
          <t>Yes</t>
        </is>
      </c>
      <c r="L3" t="inlineStr">
        <is>
          <t>Sub-total</t>
        </is>
      </c>
    </row>
    <row r="4">
      <c r="A4" t="inlineStr">
        <is>
          <t>BS_A_110</t>
        </is>
      </c>
      <c r="B4" t="inlineStr">
        <is>
          <t>Property, Plant &amp; Equipment</t>
        </is>
      </c>
      <c r="C4" t="inlineStr">
        <is>
          <t>Assets</t>
        </is>
      </c>
      <c r="D4" t="inlineStr">
        <is>
          <t>Non-Current</t>
        </is>
      </c>
      <c r="E4" t="n">
        <v>110</v>
      </c>
      <c r="F4" t="n">
        <v>2</v>
      </c>
      <c r="G4" t="inlineStr">
        <is>
          <t>110*</t>
        </is>
      </c>
      <c r="H4" t="inlineStr">
        <is>
          <t>Debit</t>
        </is>
      </c>
      <c r="I4" t="inlineStr">
        <is>
          <t>BS_A_100</t>
        </is>
      </c>
      <c r="J4" t="inlineStr">
        <is>
          <t>Yes</t>
        </is>
      </c>
      <c r="K4" t="inlineStr">
        <is>
          <t>No</t>
        </is>
      </c>
      <c r="L4" t="inlineStr">
        <is>
          <t>PPE net block</t>
        </is>
      </c>
    </row>
    <row r="5">
      <c r="A5" t="inlineStr">
        <is>
          <t>BS_A_120</t>
        </is>
      </c>
      <c r="B5" t="inlineStr">
        <is>
          <t>Capital Work-in-Progress</t>
        </is>
      </c>
      <c r="C5" t="inlineStr">
        <is>
          <t>Assets</t>
        </is>
      </c>
      <c r="D5" t="inlineStr">
        <is>
          <t>Non-Current</t>
        </is>
      </c>
      <c r="E5" t="n">
        <v>120</v>
      </c>
      <c r="F5" t="n">
        <v>2</v>
      </c>
      <c r="G5" t="inlineStr">
        <is>
          <t>111*</t>
        </is>
      </c>
      <c r="H5" t="inlineStr">
        <is>
          <t>Debit</t>
        </is>
      </c>
      <c r="I5" t="inlineStr">
        <is>
          <t>BS_A_100</t>
        </is>
      </c>
      <c r="J5" t="inlineStr">
        <is>
          <t>Yes</t>
        </is>
      </c>
      <c r="K5" t="inlineStr">
        <is>
          <t>No</t>
        </is>
      </c>
      <c r="L5" t="inlineStr">
        <is>
          <t>CWIP</t>
        </is>
      </c>
    </row>
    <row r="6">
      <c r="A6" t="inlineStr">
        <is>
          <t>BS_A_130</t>
        </is>
      </c>
      <c r="B6" t="inlineStr">
        <is>
          <t>Right-of-use Assets</t>
        </is>
      </c>
      <c r="C6" t="inlineStr">
        <is>
          <t>Assets</t>
        </is>
      </c>
      <c r="D6" t="inlineStr">
        <is>
          <t>Non-Current</t>
        </is>
      </c>
      <c r="E6" t="n">
        <v>130</v>
      </c>
      <c r="F6" t="n">
        <v>2</v>
      </c>
      <c r="G6" t="inlineStr">
        <is>
          <t>112*</t>
        </is>
      </c>
      <c r="H6" t="inlineStr">
        <is>
          <t>Debit</t>
        </is>
      </c>
      <c r="I6" t="inlineStr">
        <is>
          <t>BS_A_100</t>
        </is>
      </c>
      <c r="J6" t="inlineStr">
        <is>
          <t>Yes</t>
        </is>
      </c>
      <c r="K6" t="inlineStr">
        <is>
          <t>No</t>
        </is>
      </c>
      <c r="L6" t="inlineStr">
        <is>
          <t>Lease assets</t>
        </is>
      </c>
    </row>
    <row r="7">
      <c r="A7" t="inlineStr">
        <is>
          <t>BS_A_140</t>
        </is>
      </c>
      <c r="B7" t="inlineStr">
        <is>
          <t>Intangible Assets</t>
        </is>
      </c>
      <c r="C7" t="inlineStr">
        <is>
          <t>Assets</t>
        </is>
      </c>
      <c r="D7" t="inlineStr">
        <is>
          <t>Non-Current</t>
        </is>
      </c>
      <c r="E7" t="n">
        <v>140</v>
      </c>
      <c r="F7" t="n">
        <v>2</v>
      </c>
      <c r="G7" t="inlineStr">
        <is>
          <t>113*</t>
        </is>
      </c>
      <c r="H7" t="inlineStr">
        <is>
          <t>Debit</t>
        </is>
      </c>
      <c r="I7" t="inlineStr">
        <is>
          <t>BS_A_100</t>
        </is>
      </c>
      <c r="J7" t="inlineStr">
        <is>
          <t>Yes</t>
        </is>
      </c>
      <c r="K7" t="inlineStr">
        <is>
          <t>No</t>
        </is>
      </c>
      <c r="L7" t="inlineStr">
        <is>
          <t>Intangibles</t>
        </is>
      </c>
    </row>
    <row r="8">
      <c r="A8" t="inlineStr">
        <is>
          <t>BS_A_150</t>
        </is>
      </c>
      <c r="B8" t="inlineStr">
        <is>
          <t>Financial Assets (Non-Current)</t>
        </is>
      </c>
      <c r="C8" t="inlineStr">
        <is>
          <t>Assets</t>
        </is>
      </c>
      <c r="D8" t="inlineStr">
        <is>
          <t>Non-Current</t>
        </is>
      </c>
      <c r="E8" t="n">
        <v>150</v>
      </c>
      <c r="F8" t="n">
        <v>2</v>
      </c>
      <c r="H8" t="inlineStr">
        <is>
          <t>Debit</t>
        </is>
      </c>
      <c r="I8" t="inlineStr">
        <is>
          <t>BS_A_100</t>
        </is>
      </c>
      <c r="J8" t="inlineStr">
        <is>
          <t>Yes</t>
        </is>
      </c>
      <c r="K8" t="inlineStr">
        <is>
          <t>Yes</t>
        </is>
      </c>
      <c r="L8" t="inlineStr">
        <is>
          <t>Sub-header</t>
        </is>
      </c>
    </row>
    <row r="9">
      <c r="A9" t="inlineStr">
        <is>
          <t>BS_A_151</t>
        </is>
      </c>
      <c r="B9" t="inlineStr">
        <is>
          <t>- Investments in JV/Associates</t>
        </is>
      </c>
      <c r="C9" t="inlineStr">
        <is>
          <t>Assets</t>
        </is>
      </c>
      <c r="D9" t="inlineStr">
        <is>
          <t>Non-Current</t>
        </is>
      </c>
      <c r="E9" t="n">
        <v>151</v>
      </c>
      <c r="F9" t="n">
        <v>3</v>
      </c>
      <c r="G9" t="inlineStr">
        <is>
          <t>120*</t>
        </is>
      </c>
      <c r="H9" t="inlineStr">
        <is>
          <t>Debit</t>
        </is>
      </c>
      <c r="I9" t="inlineStr">
        <is>
          <t>BS_A_150</t>
        </is>
      </c>
      <c r="J9" t="inlineStr">
        <is>
          <t>Yes</t>
        </is>
      </c>
      <c r="K9" t="inlineStr">
        <is>
          <t>No</t>
        </is>
      </c>
      <c r="L9" t="inlineStr">
        <is>
          <t>Equity method</t>
        </is>
      </c>
    </row>
    <row r="10">
      <c r="A10" t="inlineStr">
        <is>
          <t>BS_A_152</t>
        </is>
      </c>
      <c r="B10" t="inlineStr">
        <is>
          <t>- Other Investments</t>
        </is>
      </c>
      <c r="C10" t="inlineStr">
        <is>
          <t>Assets</t>
        </is>
      </c>
      <c r="D10" t="inlineStr">
        <is>
          <t>Non-Current</t>
        </is>
      </c>
      <c r="E10" t="n">
        <v>152</v>
      </c>
      <c r="F10" t="n">
        <v>3</v>
      </c>
      <c r="G10" t="inlineStr">
        <is>
          <t>121*</t>
        </is>
      </c>
      <c r="H10" t="inlineStr">
        <is>
          <t>Debit</t>
        </is>
      </c>
      <c r="I10" t="inlineStr">
        <is>
          <t>BS_A_150</t>
        </is>
      </c>
      <c r="J10" t="inlineStr">
        <is>
          <t>Yes</t>
        </is>
      </c>
      <c r="K10" t="inlineStr">
        <is>
          <t>No</t>
        </is>
      </c>
      <c r="L10" t="inlineStr">
        <is>
          <t>Financial investments</t>
        </is>
      </c>
    </row>
    <row r="11">
      <c r="A11" t="inlineStr">
        <is>
          <t>BS_A_153</t>
        </is>
      </c>
      <c r="B11" t="inlineStr">
        <is>
          <t>- Loans (Non-Current)</t>
        </is>
      </c>
      <c r="C11" t="inlineStr">
        <is>
          <t>Assets</t>
        </is>
      </c>
      <c r="D11" t="inlineStr">
        <is>
          <t>Non-Current</t>
        </is>
      </c>
      <c r="E11" t="n">
        <v>153</v>
      </c>
      <c r="F11" t="n">
        <v>3</v>
      </c>
      <c r="G11" t="inlineStr">
        <is>
          <t>122*</t>
        </is>
      </c>
      <c r="H11" t="inlineStr">
        <is>
          <t>Debit</t>
        </is>
      </c>
      <c r="I11" t="inlineStr">
        <is>
          <t>BS_A_150</t>
        </is>
      </c>
      <c r="J11" t="inlineStr">
        <is>
          <t>Yes</t>
        </is>
      </c>
      <c r="K11" t="inlineStr">
        <is>
          <t>No</t>
        </is>
      </c>
      <c r="L11" t="inlineStr">
        <is>
          <t>Long-term loans</t>
        </is>
      </c>
    </row>
    <row r="12">
      <c r="A12" t="inlineStr">
        <is>
          <t>BS_A_200</t>
        </is>
      </c>
      <c r="B12" t="inlineStr">
        <is>
          <t>Current Assets</t>
        </is>
      </c>
      <c r="C12" t="inlineStr">
        <is>
          <t>Assets</t>
        </is>
      </c>
      <c r="D12" t="inlineStr">
        <is>
          <t>Current</t>
        </is>
      </c>
      <c r="E12" t="n">
        <v>200</v>
      </c>
      <c r="F12" t="n">
        <v>1</v>
      </c>
      <c r="H12" t="inlineStr">
        <is>
          <t>Debit</t>
        </is>
      </c>
      <c r="I12" t="inlineStr">
        <is>
          <t>BS_A_000</t>
        </is>
      </c>
      <c r="J12" t="inlineStr">
        <is>
          <t>Yes</t>
        </is>
      </c>
      <c r="K12" t="inlineStr">
        <is>
          <t>Yes</t>
        </is>
      </c>
      <c r="L12" t="inlineStr">
        <is>
          <t>Sub-total</t>
        </is>
      </c>
    </row>
    <row r="13">
      <c r="A13" t="inlineStr">
        <is>
          <t>BS_A_210</t>
        </is>
      </c>
      <c r="B13" t="inlineStr">
        <is>
          <t>Inventories</t>
        </is>
      </c>
      <c r="C13" t="inlineStr">
        <is>
          <t>Assets</t>
        </is>
      </c>
      <c r="D13" t="inlineStr">
        <is>
          <t>Current</t>
        </is>
      </c>
      <c r="E13" t="n">
        <v>210</v>
      </c>
      <c r="F13" t="n">
        <v>2</v>
      </c>
      <c r="G13" t="inlineStr">
        <is>
          <t>140*</t>
        </is>
      </c>
      <c r="H13" t="inlineStr">
        <is>
          <t>Debit</t>
        </is>
      </c>
      <c r="I13" t="inlineStr">
        <is>
          <t>BS_A_200</t>
        </is>
      </c>
      <c r="J13" t="inlineStr">
        <is>
          <t>Yes</t>
        </is>
      </c>
      <c r="K13" t="inlineStr">
        <is>
          <t>No</t>
        </is>
      </c>
      <c r="L13" t="inlineStr">
        <is>
          <t>Materials inventory</t>
        </is>
      </c>
    </row>
    <row r="14">
      <c r="A14" t="inlineStr">
        <is>
          <t>BS_A_220</t>
        </is>
      </c>
      <c r="B14" t="inlineStr">
        <is>
          <t>Financial Assets (Current)</t>
        </is>
      </c>
      <c r="C14" t="inlineStr">
        <is>
          <t>Assets</t>
        </is>
      </c>
      <c r="D14" t="inlineStr">
        <is>
          <t>Current</t>
        </is>
      </c>
      <c r="E14" t="n">
        <v>220</v>
      </c>
      <c r="F14" t="n">
        <v>2</v>
      </c>
      <c r="H14" t="inlineStr">
        <is>
          <t>Debit</t>
        </is>
      </c>
      <c r="I14" t="inlineStr">
        <is>
          <t>BS_A_200</t>
        </is>
      </c>
      <c r="J14" t="inlineStr">
        <is>
          <t>Yes</t>
        </is>
      </c>
      <c r="K14" t="inlineStr">
        <is>
          <t>Yes</t>
        </is>
      </c>
      <c r="L14" t="inlineStr">
        <is>
          <t>Sub-header</t>
        </is>
      </c>
    </row>
    <row r="15">
      <c r="A15" t="inlineStr">
        <is>
          <t>BS_A_221</t>
        </is>
      </c>
      <c r="B15" t="inlineStr">
        <is>
          <t>- Trade Receivables</t>
        </is>
      </c>
      <c r="C15" t="inlineStr">
        <is>
          <t>Assets</t>
        </is>
      </c>
      <c r="D15" t="inlineStr">
        <is>
          <t>Current</t>
        </is>
      </c>
      <c r="E15" t="n">
        <v>221</v>
      </c>
      <c r="F15" t="n">
        <v>3</v>
      </c>
      <c r="G15" t="inlineStr">
        <is>
          <t>141*</t>
        </is>
      </c>
      <c r="H15" t="inlineStr">
        <is>
          <t>Debit</t>
        </is>
      </c>
      <c r="I15" t="inlineStr">
        <is>
          <t>BS_A_220</t>
        </is>
      </c>
      <c r="J15" t="inlineStr">
        <is>
          <t>Yes</t>
        </is>
      </c>
      <c r="K15" t="inlineStr">
        <is>
          <t>No</t>
        </is>
      </c>
      <c r="L15" t="inlineStr">
        <is>
          <t>From customers</t>
        </is>
      </c>
    </row>
    <row r="16">
      <c r="A16" t="inlineStr">
        <is>
          <t>BS_A_222</t>
        </is>
      </c>
      <c r="B16" t="inlineStr">
        <is>
          <t>- Cash and Cash Equivalents</t>
        </is>
      </c>
      <c r="C16" t="inlineStr">
        <is>
          <t>Assets</t>
        </is>
      </c>
      <c r="D16" t="inlineStr">
        <is>
          <t>Current</t>
        </is>
      </c>
      <c r="E16" t="n">
        <v>222</v>
      </c>
      <c r="F16" t="n">
        <v>3</v>
      </c>
      <c r="G16" t="inlineStr">
        <is>
          <t>142*</t>
        </is>
      </c>
      <c r="H16" t="inlineStr">
        <is>
          <t>Debit</t>
        </is>
      </c>
      <c r="I16" t="inlineStr">
        <is>
          <t>BS_A_220</t>
        </is>
      </c>
      <c r="J16" t="inlineStr">
        <is>
          <t>Yes</t>
        </is>
      </c>
      <c r="K16" t="inlineStr">
        <is>
          <t>No</t>
        </is>
      </c>
      <c r="L16" t="inlineStr">
        <is>
          <t>Cash balances</t>
        </is>
      </c>
    </row>
    <row r="17">
      <c r="A17" t="inlineStr">
        <is>
          <t>BS_E_000</t>
        </is>
      </c>
      <c r="B17" t="inlineStr">
        <is>
          <t>TOTAL EQUITY &amp; LIABILITIES</t>
        </is>
      </c>
      <c r="C17" t="inlineStr">
        <is>
          <t>Equity</t>
        </is>
      </c>
      <c r="D17" t="inlineStr">
        <is>
          <t>Total</t>
        </is>
      </c>
      <c r="E17" t="n">
        <v>2000</v>
      </c>
      <c r="F17" t="n">
        <v>0</v>
      </c>
      <c r="H17" t="inlineStr">
        <is>
          <t>Credit</t>
        </is>
      </c>
      <c r="J17" t="inlineStr">
        <is>
          <t>Yes</t>
        </is>
      </c>
      <c r="K17" t="inlineStr">
        <is>
          <t>Yes</t>
        </is>
      </c>
      <c r="L17" t="inlineStr">
        <is>
          <t>Top level total</t>
        </is>
      </c>
    </row>
    <row r="18">
      <c r="A18" t="inlineStr">
        <is>
          <t>BS_E_100</t>
        </is>
      </c>
      <c r="B18" t="inlineStr">
        <is>
          <t>Equity</t>
        </is>
      </c>
      <c r="C18" t="inlineStr">
        <is>
          <t>Equity</t>
        </is>
      </c>
      <c r="D18" t="inlineStr">
        <is>
          <t>Equity</t>
        </is>
      </c>
      <c r="E18" t="n">
        <v>2100</v>
      </c>
      <c r="F18" t="n">
        <v>1</v>
      </c>
      <c r="H18" t="inlineStr">
        <is>
          <t>Credit</t>
        </is>
      </c>
      <c r="I18" t="inlineStr">
        <is>
          <t>BS_E_000</t>
        </is>
      </c>
      <c r="J18" t="inlineStr">
        <is>
          <t>Yes</t>
        </is>
      </c>
      <c r="K18" t="inlineStr">
        <is>
          <t>Yes</t>
        </is>
      </c>
      <c r="L18" t="inlineStr">
        <is>
          <t>Sub-total</t>
        </is>
      </c>
    </row>
    <row r="19">
      <c r="A19" t="inlineStr">
        <is>
          <t>BS_E_110</t>
        </is>
      </c>
      <c r="B19" t="inlineStr">
        <is>
          <t>Equity Share Capital</t>
        </is>
      </c>
      <c r="C19" t="inlineStr">
        <is>
          <t>Equity</t>
        </is>
      </c>
      <c r="D19" t="inlineStr">
        <is>
          <t>Equity</t>
        </is>
      </c>
      <c r="E19" t="n">
        <v>2110</v>
      </c>
      <c r="F19" t="n">
        <v>2</v>
      </c>
      <c r="G19" t="inlineStr">
        <is>
          <t>200*</t>
        </is>
      </c>
      <c r="H19" t="inlineStr">
        <is>
          <t>Credit</t>
        </is>
      </c>
      <c r="I19" t="inlineStr">
        <is>
          <t>BS_E_100</t>
        </is>
      </c>
      <c r="J19" t="inlineStr">
        <is>
          <t>Yes</t>
        </is>
      </c>
      <c r="K19" t="inlineStr">
        <is>
          <t>No</t>
        </is>
      </c>
      <c r="L19" t="inlineStr">
        <is>
          <t>Share capital</t>
        </is>
      </c>
    </row>
    <row r="20">
      <c r="A20" t="inlineStr">
        <is>
          <t>BS_E_120</t>
        </is>
      </c>
      <c r="B20" t="inlineStr">
        <is>
          <t>Other Equity</t>
        </is>
      </c>
      <c r="C20" t="inlineStr">
        <is>
          <t>Equity</t>
        </is>
      </c>
      <c r="D20" t="inlineStr">
        <is>
          <t>Equity</t>
        </is>
      </c>
      <c r="E20" t="n">
        <v>2120</v>
      </c>
      <c r="F20" t="n">
        <v>2</v>
      </c>
      <c r="G20" t="inlineStr">
        <is>
          <t>210*,220*,230*</t>
        </is>
      </c>
      <c r="H20" t="inlineStr">
        <is>
          <t>Credit</t>
        </is>
      </c>
      <c r="I20" t="inlineStr">
        <is>
          <t>BS_E_100</t>
        </is>
      </c>
      <c r="J20" t="inlineStr">
        <is>
          <t>Yes</t>
        </is>
      </c>
      <c r="K20" t="inlineStr">
        <is>
          <t>No</t>
        </is>
      </c>
      <c r="L20" t="inlineStr">
        <is>
          <t>Reserves &amp; surplus</t>
        </is>
      </c>
    </row>
    <row r="21">
      <c r="A21" t="inlineStr">
        <is>
          <t>BS_E_130</t>
        </is>
      </c>
      <c r="B21" t="inlineStr">
        <is>
          <t>Non-Controlling Interests</t>
        </is>
      </c>
      <c r="C21" t="inlineStr">
        <is>
          <t>Equity</t>
        </is>
      </c>
      <c r="D21" t="inlineStr">
        <is>
          <t>Equity</t>
        </is>
      </c>
      <c r="E21" t="n">
        <v>2130</v>
      </c>
      <c r="F21" t="n">
        <v>2</v>
      </c>
      <c r="G21" t="inlineStr">
        <is>
          <t>[Calculated]</t>
        </is>
      </c>
      <c r="H21" t="inlineStr">
        <is>
          <t>Credit</t>
        </is>
      </c>
      <c r="I21" t="inlineStr">
        <is>
          <t>BS_E_100</t>
        </is>
      </c>
      <c r="J21" t="inlineStr">
        <is>
          <t>Yes</t>
        </is>
      </c>
      <c r="K21" t="inlineStr">
        <is>
          <t>No</t>
        </is>
      </c>
      <c r="L21" t="inlineStr">
        <is>
          <t>Minority interest</t>
        </is>
      </c>
    </row>
    <row r="22">
      <c r="A22" t="inlineStr">
        <is>
          <t>BS_L_100</t>
        </is>
      </c>
      <c r="B22" t="inlineStr">
        <is>
          <t>Non-Current Liabilities</t>
        </is>
      </c>
      <c r="C22" t="inlineStr">
        <is>
          <t>Liabilities</t>
        </is>
      </c>
      <c r="D22" t="inlineStr">
        <is>
          <t>Non-Current</t>
        </is>
      </c>
      <c r="E22" t="n">
        <v>2200</v>
      </c>
      <c r="F22" t="n">
        <v>1</v>
      </c>
      <c r="H22" t="inlineStr">
        <is>
          <t>Credit</t>
        </is>
      </c>
      <c r="I22" t="inlineStr">
        <is>
          <t>BS_E_000</t>
        </is>
      </c>
      <c r="J22" t="inlineStr">
        <is>
          <t>Yes</t>
        </is>
      </c>
      <c r="K22" t="inlineStr">
        <is>
          <t>Yes</t>
        </is>
      </c>
      <c r="L22" t="inlineStr">
        <is>
          <t>Sub-total</t>
        </is>
      </c>
    </row>
    <row r="23">
      <c r="A23" t="inlineStr">
        <is>
          <t>BS_L_110</t>
        </is>
      </c>
      <c r="B23" t="inlineStr">
        <is>
          <t>Financial Liabilities (NC)</t>
        </is>
      </c>
      <c r="C23" t="inlineStr">
        <is>
          <t>Liabilities</t>
        </is>
      </c>
      <c r="D23" t="inlineStr">
        <is>
          <t>Non-Current</t>
        </is>
      </c>
      <c r="E23" t="n">
        <v>2210</v>
      </c>
      <c r="F23" t="n">
        <v>2</v>
      </c>
      <c r="H23" t="inlineStr">
        <is>
          <t>Credit</t>
        </is>
      </c>
      <c r="I23" t="inlineStr">
        <is>
          <t>BS_L_100</t>
        </is>
      </c>
      <c r="J23" t="inlineStr">
        <is>
          <t>Yes</t>
        </is>
      </c>
      <c r="K23" t="inlineStr">
        <is>
          <t>Yes</t>
        </is>
      </c>
      <c r="L23" t="inlineStr">
        <is>
          <t>Sub-header</t>
        </is>
      </c>
    </row>
    <row r="24">
      <c r="A24" t="inlineStr">
        <is>
          <t>BS_L_111</t>
        </is>
      </c>
      <c r="B24" t="inlineStr">
        <is>
          <t>- Borrowings (Non-Current)</t>
        </is>
      </c>
      <c r="C24" t="inlineStr">
        <is>
          <t>Liabilities</t>
        </is>
      </c>
      <c r="D24" t="inlineStr">
        <is>
          <t>Non-Current</t>
        </is>
      </c>
      <c r="E24" t="n">
        <v>2211</v>
      </c>
      <c r="F24" t="n">
        <v>3</v>
      </c>
      <c r="G24" t="inlineStr">
        <is>
          <t>300*</t>
        </is>
      </c>
      <c r="H24" t="inlineStr">
        <is>
          <t>Credit</t>
        </is>
      </c>
      <c r="I24" t="inlineStr">
        <is>
          <t>BS_L_110</t>
        </is>
      </c>
      <c r="J24" t="inlineStr">
        <is>
          <t>Yes</t>
        </is>
      </c>
      <c r="K24" t="inlineStr">
        <is>
          <t>No</t>
        </is>
      </c>
      <c r="L24" t="inlineStr">
        <is>
          <t>Long-term debt</t>
        </is>
      </c>
    </row>
    <row r="25">
      <c r="A25" t="inlineStr">
        <is>
          <t>BS_L_200</t>
        </is>
      </c>
      <c r="B25" t="inlineStr">
        <is>
          <t>Current Liabilities</t>
        </is>
      </c>
      <c r="C25" t="inlineStr">
        <is>
          <t>Liabilities</t>
        </is>
      </c>
      <c r="D25" t="inlineStr">
        <is>
          <t>Current</t>
        </is>
      </c>
      <c r="E25" t="n">
        <v>2300</v>
      </c>
      <c r="F25" t="n">
        <v>1</v>
      </c>
      <c r="H25" t="inlineStr">
        <is>
          <t>Credit</t>
        </is>
      </c>
      <c r="I25" t="inlineStr">
        <is>
          <t>BS_E_000</t>
        </is>
      </c>
      <c r="J25" t="inlineStr">
        <is>
          <t>Yes</t>
        </is>
      </c>
      <c r="K25" t="inlineStr">
        <is>
          <t>Yes</t>
        </is>
      </c>
      <c r="L25" t="inlineStr">
        <is>
          <t>Sub-total</t>
        </is>
      </c>
    </row>
    <row r="26">
      <c r="A26" t="inlineStr">
        <is>
          <t>BS_L_210</t>
        </is>
      </c>
      <c r="B26" t="inlineStr">
        <is>
          <t>Financial Liabilities (Current)</t>
        </is>
      </c>
      <c r="C26" t="inlineStr">
        <is>
          <t>Liabilities</t>
        </is>
      </c>
      <c r="D26" t="inlineStr">
        <is>
          <t>Current</t>
        </is>
      </c>
      <c r="E26" t="n">
        <v>2310</v>
      </c>
      <c r="F26" t="n">
        <v>2</v>
      </c>
      <c r="H26" t="inlineStr">
        <is>
          <t>Credit</t>
        </is>
      </c>
      <c r="I26" t="inlineStr">
        <is>
          <t>BS_L_200</t>
        </is>
      </c>
      <c r="J26" t="inlineStr">
        <is>
          <t>Yes</t>
        </is>
      </c>
      <c r="K26" t="inlineStr">
        <is>
          <t>Yes</t>
        </is>
      </c>
      <c r="L26" t="inlineStr">
        <is>
          <t>Sub-header</t>
        </is>
      </c>
    </row>
    <row r="27">
      <c r="A27" t="inlineStr">
        <is>
          <t>BS_L_211</t>
        </is>
      </c>
      <c r="B27" t="inlineStr">
        <is>
          <t>- Borrowings (Current)</t>
        </is>
      </c>
      <c r="C27" t="inlineStr">
        <is>
          <t>Liabilities</t>
        </is>
      </c>
      <c r="D27" t="inlineStr">
        <is>
          <t>Current</t>
        </is>
      </c>
      <c r="E27" t="n">
        <v>2311</v>
      </c>
      <c r="F27" t="n">
        <v>3</v>
      </c>
      <c r="G27" t="inlineStr">
        <is>
          <t>400*</t>
        </is>
      </c>
      <c r="H27" t="inlineStr">
        <is>
          <t>Credit</t>
        </is>
      </c>
      <c r="I27" t="inlineStr">
        <is>
          <t>BS_L_210</t>
        </is>
      </c>
      <c r="J27" t="inlineStr">
        <is>
          <t>Yes</t>
        </is>
      </c>
      <c r="K27" t="inlineStr">
        <is>
          <t>No</t>
        </is>
      </c>
      <c r="L27" t="inlineStr">
        <is>
          <t>Short-term debt</t>
        </is>
      </c>
    </row>
    <row r="28">
      <c r="A28" t="inlineStr">
        <is>
          <t>BS_L_213</t>
        </is>
      </c>
      <c r="B28" t="inlineStr">
        <is>
          <t>- Trade Payables</t>
        </is>
      </c>
      <c r="C28" t="inlineStr">
        <is>
          <t>Liabilities</t>
        </is>
      </c>
      <c r="D28" t="inlineStr">
        <is>
          <t>Current</t>
        </is>
      </c>
      <c r="E28" t="n">
        <v>2313</v>
      </c>
      <c r="F28" t="n">
        <v>3</v>
      </c>
      <c r="G28" t="inlineStr">
        <is>
          <t>402*</t>
        </is>
      </c>
      <c r="H28" t="inlineStr">
        <is>
          <t>Credit</t>
        </is>
      </c>
      <c r="I28" t="inlineStr">
        <is>
          <t>BS_L_210</t>
        </is>
      </c>
      <c r="J28" t="inlineStr">
        <is>
          <t>Yes</t>
        </is>
      </c>
      <c r="K28" t="inlineStr">
        <is>
          <t>No</t>
        </is>
      </c>
      <c r="L28" t="inlineStr">
        <is>
          <t>Vendor payables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FFE0"/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20" customWidth="1" min="4" max="4"/>
    <col width="15" customWidth="1" min="5" max="5"/>
    <col width="12" customWidth="1" min="6" max="6"/>
    <col width="30" customWidth="1" min="7" max="7"/>
    <col width="15" customWidth="1" min="8" max="8"/>
    <col width="15" customWidth="1" min="9" max="9"/>
    <col width="18" customWidth="1" min="10" max="10"/>
  </cols>
  <sheetData>
    <row r="1">
      <c r="A1" s="16" t="inlineStr">
        <is>
          <t>FS_Line_Code</t>
        </is>
      </c>
      <c r="B1" s="16" t="inlineStr">
        <is>
          <t>FS_Line_Name</t>
        </is>
      </c>
      <c r="C1" s="16" t="inlineStr">
        <is>
          <t>FS_Section</t>
        </is>
      </c>
      <c r="D1" s="16" t="inlineStr">
        <is>
          <t>FS_Sub_Section</t>
        </is>
      </c>
      <c r="E1" s="16" t="inlineStr">
        <is>
          <t>Display_Order</t>
        </is>
      </c>
      <c r="F1" s="16" t="inlineStr">
        <is>
          <t>Indent_Level</t>
        </is>
      </c>
      <c r="G1" s="16" t="inlineStr">
        <is>
          <t>Account_Pattern</t>
        </is>
      </c>
      <c r="H1" s="16" t="inlineStr">
        <is>
          <t>Account_Nature</t>
        </is>
      </c>
      <c r="I1" s="16" t="inlineStr">
        <is>
          <t>Rollup_Parent</t>
        </is>
      </c>
      <c r="J1" s="16" t="inlineStr">
        <is>
          <t>Segment_Applicable</t>
        </is>
      </c>
    </row>
    <row r="2">
      <c r="A2" t="inlineStr">
        <is>
          <t>PL_I_000</t>
        </is>
      </c>
      <c r="B2" t="inlineStr">
        <is>
          <t>TOTAL INCOME</t>
        </is>
      </c>
      <c r="C2" t="inlineStr">
        <is>
          <t>Income</t>
        </is>
      </c>
      <c r="D2" t="inlineStr">
        <is>
          <t>Total</t>
        </is>
      </c>
      <c r="E2" t="n">
        <v>1000</v>
      </c>
      <c r="F2" t="n">
        <v>0</v>
      </c>
      <c r="H2" t="inlineStr">
        <is>
          <t>Credit</t>
        </is>
      </c>
      <c r="J2" t="inlineStr">
        <is>
          <t>No</t>
        </is>
      </c>
    </row>
    <row r="3">
      <c r="A3" t="inlineStr">
        <is>
          <t>PL_I_100</t>
        </is>
      </c>
      <c r="B3" t="inlineStr">
        <is>
          <t>Revenue from Operations</t>
        </is>
      </c>
      <c r="C3" t="inlineStr">
        <is>
          <t>Income</t>
        </is>
      </c>
      <c r="D3" t="inlineStr">
        <is>
          <t>Operating</t>
        </is>
      </c>
      <c r="E3" t="n">
        <v>100</v>
      </c>
      <c r="F3" t="n">
        <v>1</v>
      </c>
      <c r="H3" t="inlineStr">
        <is>
          <t>Credit</t>
        </is>
      </c>
      <c r="I3" t="inlineStr">
        <is>
          <t>PL_I_000</t>
        </is>
      </c>
      <c r="J3" t="inlineStr">
        <is>
          <t>Yes</t>
        </is>
      </c>
    </row>
    <row r="4">
      <c r="A4" t="inlineStr">
        <is>
          <t>PL_I_110</t>
        </is>
      </c>
      <c r="B4" t="inlineStr">
        <is>
          <t>Sale of Power - Solar</t>
        </is>
      </c>
      <c r="C4" t="inlineStr">
        <is>
          <t>Income</t>
        </is>
      </c>
      <c r="D4" t="inlineStr">
        <is>
          <t>Operating</t>
        </is>
      </c>
      <c r="E4" t="n">
        <v>110</v>
      </c>
      <c r="F4" t="n">
        <v>2</v>
      </c>
      <c r="G4" t="inlineStr">
        <is>
          <t>500*</t>
        </is>
      </c>
      <c r="H4" t="inlineStr">
        <is>
          <t>Credit</t>
        </is>
      </c>
      <c r="I4" t="inlineStr">
        <is>
          <t>PL_I_100</t>
        </is>
      </c>
      <c r="J4" t="inlineStr">
        <is>
          <t>Yes</t>
        </is>
      </c>
    </row>
    <row r="5">
      <c r="A5" t="inlineStr">
        <is>
          <t>PL_I_120</t>
        </is>
      </c>
      <c r="B5" t="inlineStr">
        <is>
          <t>Sale of Power - Biogas</t>
        </is>
      </c>
      <c r="C5" t="inlineStr">
        <is>
          <t>Income</t>
        </is>
      </c>
      <c r="D5" t="inlineStr">
        <is>
          <t>Operating</t>
        </is>
      </c>
      <c r="E5" t="n">
        <v>120</v>
      </c>
      <c r="F5" t="n">
        <v>2</v>
      </c>
      <c r="G5" t="inlineStr">
        <is>
          <t>501*</t>
        </is>
      </c>
      <c r="H5" t="inlineStr">
        <is>
          <t>Credit</t>
        </is>
      </c>
      <c r="I5" t="inlineStr">
        <is>
          <t>PL_I_100</t>
        </is>
      </c>
      <c r="J5" t="inlineStr">
        <is>
          <t>Yes</t>
        </is>
      </c>
    </row>
    <row r="6">
      <c r="A6" t="inlineStr">
        <is>
          <t>PL_I_140</t>
        </is>
      </c>
      <c r="B6" t="inlineStr">
        <is>
          <t>EPC Revenue</t>
        </is>
      </c>
      <c r="C6" t="inlineStr">
        <is>
          <t>Income</t>
        </is>
      </c>
      <c r="D6" t="inlineStr">
        <is>
          <t>Operating</t>
        </is>
      </c>
      <c r="E6" t="n">
        <v>140</v>
      </c>
      <c r="F6" t="n">
        <v>2</v>
      </c>
      <c r="G6" t="inlineStr">
        <is>
          <t>510*</t>
        </is>
      </c>
      <c r="H6" t="inlineStr">
        <is>
          <t>Credit</t>
        </is>
      </c>
      <c r="I6" t="inlineStr">
        <is>
          <t>PL_I_100</t>
        </is>
      </c>
      <c r="J6" t="inlineStr">
        <is>
          <t>Yes</t>
        </is>
      </c>
    </row>
    <row r="7">
      <c r="A7" t="inlineStr">
        <is>
          <t>PL_I_150</t>
        </is>
      </c>
      <c r="B7" t="inlineStr">
        <is>
          <t>O&amp;M Services Revenue</t>
        </is>
      </c>
      <c r="C7" t="inlineStr">
        <is>
          <t>Income</t>
        </is>
      </c>
      <c r="D7" t="inlineStr">
        <is>
          <t>Operating</t>
        </is>
      </c>
      <c r="E7" t="n">
        <v>150</v>
      </c>
      <c r="F7" t="n">
        <v>2</v>
      </c>
      <c r="G7" t="inlineStr">
        <is>
          <t>520*</t>
        </is>
      </c>
      <c r="H7" t="inlineStr">
        <is>
          <t>Credit</t>
        </is>
      </c>
      <c r="I7" t="inlineStr">
        <is>
          <t>PL_I_100</t>
        </is>
      </c>
      <c r="J7" t="inlineStr">
        <is>
          <t>Yes</t>
        </is>
      </c>
    </row>
    <row r="8">
      <c r="A8" t="inlineStr">
        <is>
          <t>PL_I_170</t>
        </is>
      </c>
      <c r="B8" t="inlineStr">
        <is>
          <t>Other Operating Revenue</t>
        </is>
      </c>
      <c r="C8" t="inlineStr">
        <is>
          <t>Income</t>
        </is>
      </c>
      <c r="D8" t="inlineStr">
        <is>
          <t>Operating</t>
        </is>
      </c>
      <c r="E8" t="n">
        <v>170</v>
      </c>
      <c r="F8" t="n">
        <v>2</v>
      </c>
      <c r="G8" t="inlineStr">
        <is>
          <t>540*</t>
        </is>
      </c>
      <c r="H8" t="inlineStr">
        <is>
          <t>Credit</t>
        </is>
      </c>
      <c r="I8" t="inlineStr">
        <is>
          <t>PL_I_100</t>
        </is>
      </c>
      <c r="J8" t="inlineStr">
        <is>
          <t>Yes</t>
        </is>
      </c>
    </row>
    <row r="9">
      <c r="A9" t="inlineStr">
        <is>
          <t>PL_I_200</t>
        </is>
      </c>
      <c r="B9" t="inlineStr">
        <is>
          <t>Other Income</t>
        </is>
      </c>
      <c r="C9" t="inlineStr">
        <is>
          <t>Income</t>
        </is>
      </c>
      <c r="D9" t="inlineStr">
        <is>
          <t>Non-Operating</t>
        </is>
      </c>
      <c r="E9" t="n">
        <v>200</v>
      </c>
      <c r="F9" t="n">
        <v>1</v>
      </c>
      <c r="H9" t="inlineStr">
        <is>
          <t>Credit</t>
        </is>
      </c>
      <c r="I9" t="inlineStr">
        <is>
          <t>PL_I_000</t>
        </is>
      </c>
      <c r="J9" t="inlineStr">
        <is>
          <t>No</t>
        </is>
      </c>
    </row>
    <row r="10">
      <c r="A10" t="inlineStr">
        <is>
          <t>PL_I_210</t>
        </is>
      </c>
      <c r="B10" t="inlineStr">
        <is>
          <t>Interest Income</t>
        </is>
      </c>
      <c r="C10" t="inlineStr">
        <is>
          <t>Income</t>
        </is>
      </c>
      <c r="D10" t="inlineStr">
        <is>
          <t>Non-Operating</t>
        </is>
      </c>
      <c r="E10" t="n">
        <v>210</v>
      </c>
      <c r="F10" t="n">
        <v>2</v>
      </c>
      <c r="G10" t="inlineStr">
        <is>
          <t>550*</t>
        </is>
      </c>
      <c r="H10" t="inlineStr">
        <is>
          <t>Credit</t>
        </is>
      </c>
      <c r="I10" t="inlineStr">
        <is>
          <t>PL_I_200</t>
        </is>
      </c>
      <c r="J10" t="inlineStr">
        <is>
          <t>No</t>
        </is>
      </c>
    </row>
    <row r="11">
      <c r="A11" t="inlineStr">
        <is>
          <t>PL_I_220</t>
        </is>
      </c>
      <c r="B11" t="inlineStr">
        <is>
          <t>Dividend Income</t>
        </is>
      </c>
      <c r="C11" t="inlineStr">
        <is>
          <t>Income</t>
        </is>
      </c>
      <c r="D11" t="inlineStr">
        <is>
          <t>Non-Operating</t>
        </is>
      </c>
      <c r="E11" t="n">
        <v>220</v>
      </c>
      <c r="F11" t="n">
        <v>2</v>
      </c>
      <c r="G11" t="inlineStr">
        <is>
          <t>551*</t>
        </is>
      </c>
      <c r="H11" t="inlineStr">
        <is>
          <t>Credit</t>
        </is>
      </c>
      <c r="I11" t="inlineStr">
        <is>
          <t>PL_I_200</t>
        </is>
      </c>
      <c r="J11" t="inlineStr">
        <is>
          <t>No</t>
        </is>
      </c>
    </row>
    <row r="12">
      <c r="A12" t="inlineStr">
        <is>
          <t>PL_E_000</t>
        </is>
      </c>
      <c r="B12" t="inlineStr">
        <is>
          <t>TOTAL EXPENSES</t>
        </is>
      </c>
      <c r="C12" t="inlineStr">
        <is>
          <t>Expenses</t>
        </is>
      </c>
      <c r="D12" t="inlineStr">
        <is>
          <t>Total</t>
        </is>
      </c>
      <c r="E12" t="n">
        <v>2000</v>
      </c>
      <c r="F12" t="n">
        <v>0</v>
      </c>
      <c r="H12" t="inlineStr">
        <is>
          <t>Debit</t>
        </is>
      </c>
      <c r="J12" t="inlineStr">
        <is>
          <t>No</t>
        </is>
      </c>
    </row>
    <row r="13">
      <c r="A13" t="inlineStr">
        <is>
          <t>PL_E_100</t>
        </is>
      </c>
      <c r="B13" t="inlineStr">
        <is>
          <t>Cost of Power / Fuel</t>
        </is>
      </c>
      <c r="C13" t="inlineStr">
        <is>
          <t>Expenses</t>
        </is>
      </c>
      <c r="D13" t="inlineStr">
        <is>
          <t>Operating</t>
        </is>
      </c>
      <c r="E13" t="n">
        <v>2100</v>
      </c>
      <c r="F13" t="n">
        <v>1</v>
      </c>
      <c r="G13" t="inlineStr">
        <is>
          <t>600*</t>
        </is>
      </c>
      <c r="H13" t="inlineStr">
        <is>
          <t>Debit</t>
        </is>
      </c>
      <c r="I13" t="inlineStr">
        <is>
          <t>PL_E_000</t>
        </is>
      </c>
      <c r="J13" t="inlineStr">
        <is>
          <t>Yes</t>
        </is>
      </c>
    </row>
    <row r="14">
      <c r="A14" t="inlineStr">
        <is>
          <t>PL_E_110</t>
        </is>
      </c>
      <c r="B14" t="inlineStr">
        <is>
          <t>Cost of Materials (EPC)</t>
        </is>
      </c>
      <c r="C14" t="inlineStr">
        <is>
          <t>Expenses</t>
        </is>
      </c>
      <c r="D14" t="inlineStr">
        <is>
          <t>Operating</t>
        </is>
      </c>
      <c r="E14" t="n">
        <v>2110</v>
      </c>
      <c r="F14" t="n">
        <v>1</v>
      </c>
      <c r="G14" t="inlineStr">
        <is>
          <t>610*</t>
        </is>
      </c>
      <c r="H14" t="inlineStr">
        <is>
          <t>Debit</t>
        </is>
      </c>
      <c r="I14" t="inlineStr">
        <is>
          <t>PL_E_000</t>
        </is>
      </c>
      <c r="J14" t="inlineStr">
        <is>
          <t>Yes</t>
        </is>
      </c>
    </row>
    <row r="15">
      <c r="A15" t="inlineStr">
        <is>
          <t>PL_E_120</t>
        </is>
      </c>
      <c r="B15" t="inlineStr">
        <is>
          <t>Subcontracting Charges</t>
        </is>
      </c>
      <c r="C15" t="inlineStr">
        <is>
          <t>Expenses</t>
        </is>
      </c>
      <c r="D15" t="inlineStr">
        <is>
          <t>Operating</t>
        </is>
      </c>
      <c r="E15" t="n">
        <v>2120</v>
      </c>
      <c r="F15" t="n">
        <v>1</v>
      </c>
      <c r="G15" t="inlineStr">
        <is>
          <t>620*</t>
        </is>
      </c>
      <c r="H15" t="inlineStr">
        <is>
          <t>Debit</t>
        </is>
      </c>
      <c r="I15" t="inlineStr">
        <is>
          <t>PL_E_000</t>
        </is>
      </c>
      <c r="J15" t="inlineStr">
        <is>
          <t>Yes</t>
        </is>
      </c>
    </row>
    <row r="16">
      <c r="A16" t="inlineStr">
        <is>
          <t>PL_E_130</t>
        </is>
      </c>
      <c r="B16" t="inlineStr">
        <is>
          <t>Employee Benefits Expense</t>
        </is>
      </c>
      <c r="C16" t="inlineStr">
        <is>
          <t>Expenses</t>
        </is>
      </c>
      <c r="D16" t="inlineStr">
        <is>
          <t>Operating</t>
        </is>
      </c>
      <c r="E16" t="n">
        <v>2130</v>
      </c>
      <c r="F16" t="n">
        <v>1</v>
      </c>
      <c r="G16" t="inlineStr">
        <is>
          <t>630*</t>
        </is>
      </c>
      <c r="H16" t="inlineStr">
        <is>
          <t>Debit</t>
        </is>
      </c>
      <c r="I16" t="inlineStr">
        <is>
          <t>PL_E_000</t>
        </is>
      </c>
      <c r="J16" t="inlineStr">
        <is>
          <t>Yes</t>
        </is>
      </c>
    </row>
    <row r="17">
      <c r="A17" t="inlineStr">
        <is>
          <t>PL_E_140</t>
        </is>
      </c>
      <c r="B17" t="inlineStr">
        <is>
          <t>Finance Costs</t>
        </is>
      </c>
      <c r="C17" t="inlineStr">
        <is>
          <t>Expenses</t>
        </is>
      </c>
      <c r="D17" t="inlineStr">
        <is>
          <t>Operating</t>
        </is>
      </c>
      <c r="E17" t="n">
        <v>2140</v>
      </c>
      <c r="F17" t="n">
        <v>1</v>
      </c>
      <c r="G17" t="inlineStr">
        <is>
          <t>640*</t>
        </is>
      </c>
      <c r="H17" t="inlineStr">
        <is>
          <t>Debit</t>
        </is>
      </c>
      <c r="I17" t="inlineStr">
        <is>
          <t>PL_E_000</t>
        </is>
      </c>
      <c r="J17" t="inlineStr">
        <is>
          <t>No</t>
        </is>
      </c>
    </row>
    <row r="18">
      <c r="A18" t="inlineStr">
        <is>
          <t>PL_E_150</t>
        </is>
      </c>
      <c r="B18" t="inlineStr">
        <is>
          <t>Depreciation &amp; Amortization</t>
        </is>
      </c>
      <c r="C18" t="inlineStr">
        <is>
          <t>Expenses</t>
        </is>
      </c>
      <c r="D18" t="inlineStr">
        <is>
          <t>Operating</t>
        </is>
      </c>
      <c r="E18" t="n">
        <v>2150</v>
      </c>
      <c r="F18" t="n">
        <v>1</v>
      </c>
      <c r="G18" t="inlineStr">
        <is>
          <t>650*</t>
        </is>
      </c>
      <c r="H18" t="inlineStr">
        <is>
          <t>Debit</t>
        </is>
      </c>
      <c r="I18" t="inlineStr">
        <is>
          <t>PL_E_000</t>
        </is>
      </c>
      <c r="J18" t="inlineStr">
        <is>
          <t>No</t>
        </is>
      </c>
    </row>
    <row r="19">
      <c r="A19" t="inlineStr">
        <is>
          <t>PL_E_160</t>
        </is>
      </c>
      <c r="B19" t="inlineStr">
        <is>
          <t>O&amp;M Expenses</t>
        </is>
      </c>
      <c r="C19" t="inlineStr">
        <is>
          <t>Expenses</t>
        </is>
      </c>
      <c r="D19" t="inlineStr">
        <is>
          <t>Operating</t>
        </is>
      </c>
      <c r="E19" t="n">
        <v>2160</v>
      </c>
      <c r="F19" t="n">
        <v>1</v>
      </c>
      <c r="G19" t="inlineStr">
        <is>
          <t>660*</t>
        </is>
      </c>
      <c r="H19" t="inlineStr">
        <is>
          <t>Debit</t>
        </is>
      </c>
      <c r="I19" t="inlineStr">
        <is>
          <t>PL_E_000</t>
        </is>
      </c>
      <c r="J19" t="inlineStr">
        <is>
          <t>Yes</t>
        </is>
      </c>
    </row>
    <row r="20">
      <c r="A20" t="inlineStr">
        <is>
          <t>PL_E_170</t>
        </is>
      </c>
      <c r="B20" t="inlineStr">
        <is>
          <t>Other Expenses</t>
        </is>
      </c>
      <c r="C20" t="inlineStr">
        <is>
          <t>Expenses</t>
        </is>
      </c>
      <c r="D20" t="inlineStr">
        <is>
          <t>Operating</t>
        </is>
      </c>
      <c r="E20" t="n">
        <v>2170</v>
      </c>
      <c r="F20" t="n">
        <v>1</v>
      </c>
      <c r="G20" t="inlineStr">
        <is>
          <t>670*</t>
        </is>
      </c>
      <c r="H20" t="inlineStr">
        <is>
          <t>Debit</t>
        </is>
      </c>
      <c r="I20" t="inlineStr">
        <is>
          <t>PL_E_000</t>
        </is>
      </c>
      <c r="J20" t="inlineStr">
        <is>
          <t>Yes</t>
        </is>
      </c>
    </row>
    <row r="21">
      <c r="A21" t="inlineStr">
        <is>
          <t>PL_R_100</t>
        </is>
      </c>
      <c r="B21" t="inlineStr">
        <is>
          <t>Profit before Tax</t>
        </is>
      </c>
      <c r="C21" t="inlineStr">
        <is>
          <t>Result</t>
        </is>
      </c>
      <c r="D21" t="inlineStr">
        <is>
          <t>Result</t>
        </is>
      </c>
      <c r="E21" t="n">
        <v>3100</v>
      </c>
      <c r="F21" t="n">
        <v>1</v>
      </c>
      <c r="G21" t="inlineStr">
        <is>
          <t>[Calculated]</t>
        </is>
      </c>
      <c r="J21" t="inlineStr">
        <is>
          <t>No</t>
        </is>
      </c>
    </row>
    <row r="22">
      <c r="A22" t="inlineStr">
        <is>
          <t>PL_R_110</t>
        </is>
      </c>
      <c r="B22" t="inlineStr">
        <is>
          <t>Tax Expense - Current</t>
        </is>
      </c>
      <c r="C22" t="inlineStr">
        <is>
          <t>Expenses</t>
        </is>
      </c>
      <c r="D22" t="inlineStr">
        <is>
          <t>Tax</t>
        </is>
      </c>
      <c r="E22" t="n">
        <v>3110</v>
      </c>
      <c r="F22" t="n">
        <v>2</v>
      </c>
      <c r="G22" t="inlineStr">
        <is>
          <t>700*</t>
        </is>
      </c>
      <c r="H22" t="inlineStr">
        <is>
          <t>Debit</t>
        </is>
      </c>
      <c r="J22" t="inlineStr">
        <is>
          <t>No</t>
        </is>
      </c>
    </row>
    <row r="23">
      <c r="A23" t="inlineStr">
        <is>
          <t>PL_R_120</t>
        </is>
      </c>
      <c r="B23" t="inlineStr">
        <is>
          <t>Tax Expense - Deferred</t>
        </is>
      </c>
      <c r="C23" t="inlineStr">
        <is>
          <t>Expenses</t>
        </is>
      </c>
      <c r="D23" t="inlineStr">
        <is>
          <t>Tax</t>
        </is>
      </c>
      <c r="E23" t="n">
        <v>3120</v>
      </c>
      <c r="F23" t="n">
        <v>2</v>
      </c>
      <c r="G23" t="inlineStr">
        <is>
          <t>701*</t>
        </is>
      </c>
      <c r="H23" t="inlineStr">
        <is>
          <t>Debit</t>
        </is>
      </c>
      <c r="J23" t="inlineStr">
        <is>
          <t>No</t>
        </is>
      </c>
    </row>
    <row r="24">
      <c r="A24" t="inlineStr">
        <is>
          <t>PL_R_200</t>
        </is>
      </c>
      <c r="B24" t="inlineStr">
        <is>
          <t>Profit for the Year</t>
        </is>
      </c>
      <c r="C24" t="inlineStr">
        <is>
          <t>Result</t>
        </is>
      </c>
      <c r="D24" t="inlineStr">
        <is>
          <t>Result</t>
        </is>
      </c>
      <c r="E24" t="n">
        <v>3200</v>
      </c>
      <c r="F24" t="n">
        <v>1</v>
      </c>
      <c r="G24" t="inlineStr">
        <is>
          <t>[Calculated]</t>
        </is>
      </c>
      <c r="J24" t="inlineStr">
        <is>
          <t>No</t>
        </is>
      </c>
    </row>
    <row r="25">
      <c r="A25" t="inlineStr">
        <is>
          <t>PL_R_300</t>
        </is>
      </c>
      <c r="B25" t="inlineStr">
        <is>
          <t>Attributable to Owners</t>
        </is>
      </c>
      <c r="C25" t="inlineStr">
        <is>
          <t>Result</t>
        </is>
      </c>
      <c r="D25" t="inlineStr">
        <is>
          <t>Attribution</t>
        </is>
      </c>
      <c r="E25" t="n">
        <v>3300</v>
      </c>
      <c r="F25" t="n">
        <v>2</v>
      </c>
      <c r="G25" t="inlineStr">
        <is>
          <t>[Calculated]</t>
        </is>
      </c>
      <c r="J25" t="inlineStr">
        <is>
          <t>No</t>
        </is>
      </c>
    </row>
    <row r="26">
      <c r="A26" t="inlineStr">
        <is>
          <t>PL_R_310</t>
        </is>
      </c>
      <c r="B26" t="inlineStr">
        <is>
          <t>Attributable to NCI</t>
        </is>
      </c>
      <c r="C26" t="inlineStr">
        <is>
          <t>Result</t>
        </is>
      </c>
      <c r="D26" t="inlineStr">
        <is>
          <t>Attribution</t>
        </is>
      </c>
      <c r="E26" t="n">
        <v>3310</v>
      </c>
      <c r="F26" t="n">
        <v>2</v>
      </c>
      <c r="G26" t="inlineStr">
        <is>
          <t>[Calculated]</t>
        </is>
      </c>
      <c r="J26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FFE0"/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5" customWidth="1" min="3" max="3"/>
    <col width="15" customWidth="1" min="4" max="4"/>
    <col width="12" customWidth="1" min="5" max="5"/>
    <col width="18" customWidth="1" min="6" max="6"/>
    <col width="20" customWidth="1" min="7" max="7"/>
    <col width="15" customWidth="1" min="8" max="8"/>
    <col width="20" customWidth="1" min="9" max="9"/>
  </cols>
  <sheetData>
    <row r="1">
      <c r="A1" s="16" t="inlineStr">
        <is>
          <t>CF_Line_Code</t>
        </is>
      </c>
      <c r="B1" s="16" t="inlineStr">
        <is>
          <t>CF_Line_Name</t>
        </is>
      </c>
      <c r="C1" s="16" t="inlineStr">
        <is>
          <t>CF_Section</t>
        </is>
      </c>
      <c r="D1" s="16" t="inlineStr">
        <is>
          <t>Display_Order</t>
        </is>
      </c>
      <c r="E1" s="16" t="inlineStr">
        <is>
          <t>Indent_Level</t>
        </is>
      </c>
      <c r="F1" s="16" t="inlineStr">
        <is>
          <t>Source_Type</t>
        </is>
      </c>
      <c r="G1" s="16" t="inlineStr">
        <is>
          <t>Source_Reference</t>
        </is>
      </c>
      <c r="H1" s="16" t="inlineStr">
        <is>
          <t>Add_Subtract</t>
        </is>
      </c>
    </row>
    <row r="2">
      <c r="A2" t="inlineStr">
        <is>
          <t>CF_O_000</t>
        </is>
      </c>
      <c r="B2" t="inlineStr">
        <is>
          <t>A. CASH FLOW FROM OPERATING ACTIVITIES</t>
        </is>
      </c>
      <c r="C2" t="inlineStr">
        <is>
          <t>Operating</t>
        </is>
      </c>
      <c r="D2" t="n">
        <v>1000</v>
      </c>
      <c r="E2" t="n">
        <v>0</v>
      </c>
      <c r="F2" t="inlineStr">
        <is>
          <t>Section</t>
        </is>
      </c>
    </row>
    <row r="3">
      <c r="A3" t="inlineStr">
        <is>
          <t>CF_O_010</t>
        </is>
      </c>
      <c r="B3" t="inlineStr">
        <is>
          <t>Profit before Tax</t>
        </is>
      </c>
      <c r="C3" t="inlineStr">
        <is>
          <t>Operating</t>
        </is>
      </c>
      <c r="D3" t="n">
        <v>1010</v>
      </c>
      <c r="E3" t="n">
        <v>1</v>
      </c>
      <c r="F3" t="inlineStr">
        <is>
          <t>PL_Link</t>
        </is>
      </c>
      <c r="G3" t="inlineStr">
        <is>
          <t>PL_R_100</t>
        </is>
      </c>
      <c r="H3" t="inlineStr">
        <is>
          <t>Add</t>
        </is>
      </c>
    </row>
    <row r="4">
      <c r="A4" t="inlineStr">
        <is>
          <t>CF_O_020</t>
        </is>
      </c>
      <c r="B4" t="inlineStr">
        <is>
          <t>Adjustments:</t>
        </is>
      </c>
      <c r="C4" t="inlineStr">
        <is>
          <t>Operating</t>
        </is>
      </c>
      <c r="D4" t="n">
        <v>1020</v>
      </c>
      <c r="E4" t="n">
        <v>1</v>
      </c>
      <c r="F4" t="inlineStr">
        <is>
          <t>Header</t>
        </is>
      </c>
    </row>
    <row r="5">
      <c r="A5" t="inlineStr">
        <is>
          <t>CF_O_021</t>
        </is>
      </c>
      <c r="B5" t="inlineStr">
        <is>
          <t>Depreciation &amp; Amortization</t>
        </is>
      </c>
      <c r="C5" t="inlineStr">
        <is>
          <t>Operating</t>
        </is>
      </c>
      <c r="D5" t="n">
        <v>1021</v>
      </c>
      <c r="E5" t="n">
        <v>2</v>
      </c>
      <c r="F5" t="inlineStr">
        <is>
          <t>PL_Link</t>
        </is>
      </c>
      <c r="G5" t="inlineStr">
        <is>
          <t>PL_E_150</t>
        </is>
      </c>
      <c r="H5" t="inlineStr">
        <is>
          <t>Add</t>
        </is>
      </c>
    </row>
    <row r="6">
      <c r="A6" t="inlineStr">
        <is>
          <t>CF_O_022</t>
        </is>
      </c>
      <c r="B6" t="inlineStr">
        <is>
          <t>Finance Costs</t>
        </is>
      </c>
      <c r="C6" t="inlineStr">
        <is>
          <t>Operating</t>
        </is>
      </c>
      <c r="D6" t="n">
        <v>1022</v>
      </c>
      <c r="E6" t="n">
        <v>2</v>
      </c>
      <c r="F6" t="inlineStr">
        <is>
          <t>PL_Link</t>
        </is>
      </c>
      <c r="G6" t="inlineStr">
        <is>
          <t>PL_E_140</t>
        </is>
      </c>
      <c r="H6" t="inlineStr">
        <is>
          <t>Add</t>
        </is>
      </c>
    </row>
    <row r="7">
      <c r="A7" t="inlineStr">
        <is>
          <t>CF_O_023</t>
        </is>
      </c>
      <c r="B7" t="inlineStr">
        <is>
          <t>Interest Income</t>
        </is>
      </c>
      <c r="C7" t="inlineStr">
        <is>
          <t>Operating</t>
        </is>
      </c>
      <c r="D7" t="n">
        <v>1023</v>
      </c>
      <c r="E7" t="n">
        <v>2</v>
      </c>
      <c r="F7" t="inlineStr">
        <is>
          <t>PL_Link</t>
        </is>
      </c>
      <c r="G7" t="inlineStr">
        <is>
          <t>PL_I_210</t>
        </is>
      </c>
      <c r="H7" t="inlineStr">
        <is>
          <t>Subtract</t>
        </is>
      </c>
    </row>
    <row r="8">
      <c r="A8" t="inlineStr">
        <is>
          <t>CF_O_030</t>
        </is>
      </c>
      <c r="B8" t="inlineStr">
        <is>
          <t>Operating Profit before WC changes</t>
        </is>
      </c>
      <c r="C8" t="inlineStr">
        <is>
          <t>Operating</t>
        </is>
      </c>
      <c r="D8" t="n">
        <v>1030</v>
      </c>
      <c r="E8" t="n">
        <v>1</v>
      </c>
      <c r="F8" t="inlineStr">
        <is>
          <t>Calculated</t>
        </is>
      </c>
      <c r="G8" t="inlineStr">
        <is>
          <t>Sum_Above</t>
        </is>
      </c>
      <c r="H8" t="inlineStr">
        <is>
          <t>Add</t>
        </is>
      </c>
    </row>
    <row r="9">
      <c r="A9" t="inlineStr">
        <is>
          <t>CF_O_040</t>
        </is>
      </c>
      <c r="B9" t="inlineStr">
        <is>
          <t>Working Capital changes:</t>
        </is>
      </c>
      <c r="C9" t="inlineStr">
        <is>
          <t>Operating</t>
        </is>
      </c>
      <c r="D9" t="n">
        <v>1040</v>
      </c>
      <c r="E9" t="n">
        <v>1</v>
      </c>
      <c r="F9" t="inlineStr">
        <is>
          <t>Header</t>
        </is>
      </c>
    </row>
    <row r="10">
      <c r="A10" t="inlineStr">
        <is>
          <t>CF_O_041</t>
        </is>
      </c>
      <c r="B10" t="inlineStr">
        <is>
          <t>(Increase)/Decrease in Receivables</t>
        </is>
      </c>
      <c r="C10" t="inlineStr">
        <is>
          <t>Operating</t>
        </is>
      </c>
      <c r="D10" t="n">
        <v>1041</v>
      </c>
      <c r="E10" t="n">
        <v>2</v>
      </c>
      <c r="F10" t="inlineStr">
        <is>
          <t>BS_Movement</t>
        </is>
      </c>
      <c r="G10" t="inlineStr">
        <is>
          <t>BS_A_221</t>
        </is>
      </c>
      <c r="H10" t="inlineStr">
        <is>
          <t>Subtract</t>
        </is>
      </c>
    </row>
    <row r="11">
      <c r="A11" t="inlineStr">
        <is>
          <t>CF_O_042</t>
        </is>
      </c>
      <c r="B11" t="inlineStr">
        <is>
          <t>Increase/(Decrease) in Payables</t>
        </is>
      </c>
      <c r="C11" t="inlineStr">
        <is>
          <t>Operating</t>
        </is>
      </c>
      <c r="D11" t="n">
        <v>1042</v>
      </c>
      <c r="E11" t="n">
        <v>2</v>
      </c>
      <c r="F11" t="inlineStr">
        <is>
          <t>BS_Movement</t>
        </is>
      </c>
      <c r="G11" t="inlineStr">
        <is>
          <t>BS_L_213</t>
        </is>
      </c>
      <c r="H11" t="inlineStr">
        <is>
          <t>Add</t>
        </is>
      </c>
    </row>
    <row r="12">
      <c r="A12" t="inlineStr">
        <is>
          <t>CF_O_050</t>
        </is>
      </c>
      <c r="B12" t="inlineStr">
        <is>
          <t>Cash Generated from Operations</t>
        </is>
      </c>
      <c r="C12" t="inlineStr">
        <is>
          <t>Operating</t>
        </is>
      </c>
      <c r="D12" t="n">
        <v>1050</v>
      </c>
      <c r="E12" t="n">
        <v>1</v>
      </c>
      <c r="F12" t="inlineStr">
        <is>
          <t>Calculated</t>
        </is>
      </c>
      <c r="G12" t="inlineStr">
        <is>
          <t>Sum_Above</t>
        </is>
      </c>
      <c r="H12" t="inlineStr">
        <is>
          <t>Add</t>
        </is>
      </c>
    </row>
    <row r="13">
      <c r="A13" t="inlineStr">
        <is>
          <t>CF_O_060</t>
        </is>
      </c>
      <c r="B13" t="inlineStr">
        <is>
          <t>Income Tax Paid</t>
        </is>
      </c>
      <c r="C13" t="inlineStr">
        <is>
          <t>Operating</t>
        </is>
      </c>
      <c r="D13" t="n">
        <v>1060</v>
      </c>
      <c r="E13" t="n">
        <v>1</v>
      </c>
      <c r="F13" t="inlineStr">
        <is>
          <t>PL_Link</t>
        </is>
      </c>
      <c r="G13" t="inlineStr">
        <is>
          <t>PL_R_110</t>
        </is>
      </c>
      <c r="H13" t="inlineStr">
        <is>
          <t>Subtract</t>
        </is>
      </c>
    </row>
    <row r="14">
      <c r="A14" t="inlineStr">
        <is>
          <t>CF_O_100</t>
        </is>
      </c>
      <c r="B14" t="inlineStr">
        <is>
          <t>Net Cash from Operating Activities (A)</t>
        </is>
      </c>
      <c r="C14" t="inlineStr">
        <is>
          <t>Operating</t>
        </is>
      </c>
      <c r="D14" t="n">
        <v>1100</v>
      </c>
      <c r="E14" t="n">
        <v>1</v>
      </c>
      <c r="F14" t="inlineStr">
        <is>
          <t>Calculated</t>
        </is>
      </c>
      <c r="G14" t="inlineStr">
        <is>
          <t>Sum_Section</t>
        </is>
      </c>
      <c r="H14" t="inlineStr">
        <is>
          <t>Add</t>
        </is>
      </c>
    </row>
    <row r="15">
      <c r="A15" t="inlineStr">
        <is>
          <t>CF_I_000</t>
        </is>
      </c>
      <c r="B15" t="inlineStr">
        <is>
          <t>B. CASH FLOW FROM INVESTING ACTIVITIES</t>
        </is>
      </c>
      <c r="C15" t="inlineStr">
        <is>
          <t>Investing</t>
        </is>
      </c>
      <c r="D15" t="n">
        <v>2000</v>
      </c>
      <c r="E15" t="n">
        <v>0</v>
      </c>
      <c r="F15" t="inlineStr">
        <is>
          <t>Section</t>
        </is>
      </c>
    </row>
    <row r="16">
      <c r="A16" t="inlineStr">
        <is>
          <t>CF_I_010</t>
        </is>
      </c>
      <c r="B16" t="inlineStr">
        <is>
          <t>Purchase of PPE</t>
        </is>
      </c>
      <c r="C16" t="inlineStr">
        <is>
          <t>Investing</t>
        </is>
      </c>
      <c r="D16" t="n">
        <v>2010</v>
      </c>
      <c r="E16" t="n">
        <v>1</v>
      </c>
      <c r="F16" t="inlineStr">
        <is>
          <t>BS_Movement</t>
        </is>
      </c>
      <c r="G16" t="inlineStr">
        <is>
          <t>BS_A_110</t>
        </is>
      </c>
      <c r="H16" t="inlineStr">
        <is>
          <t>Subtract</t>
        </is>
      </c>
    </row>
    <row r="17">
      <c r="A17" t="inlineStr">
        <is>
          <t>CF_I_020</t>
        </is>
      </c>
      <c r="B17" t="inlineStr">
        <is>
          <t>Interest Received</t>
        </is>
      </c>
      <c r="C17" t="inlineStr">
        <is>
          <t>Investing</t>
        </is>
      </c>
      <c r="D17" t="n">
        <v>2020</v>
      </c>
      <c r="E17" t="n">
        <v>1</v>
      </c>
      <c r="F17" t="inlineStr">
        <is>
          <t>PL_Link</t>
        </is>
      </c>
      <c r="G17" t="inlineStr">
        <is>
          <t>PL_I_210</t>
        </is>
      </c>
      <c r="H17" t="inlineStr">
        <is>
          <t>Add</t>
        </is>
      </c>
    </row>
    <row r="18">
      <c r="A18" t="inlineStr">
        <is>
          <t>CF_I_100</t>
        </is>
      </c>
      <c r="B18" t="inlineStr">
        <is>
          <t>Net Cash from Investing Activities (B)</t>
        </is>
      </c>
      <c r="C18" t="inlineStr">
        <is>
          <t>Investing</t>
        </is>
      </c>
      <c r="D18" t="n">
        <v>2100</v>
      </c>
      <c r="E18" t="n">
        <v>1</v>
      </c>
      <c r="F18" t="inlineStr">
        <is>
          <t>Calculated</t>
        </is>
      </c>
      <c r="G18" t="inlineStr">
        <is>
          <t>Sum_Section</t>
        </is>
      </c>
      <c r="H18" t="inlineStr">
        <is>
          <t>Add</t>
        </is>
      </c>
    </row>
    <row r="19">
      <c r="A19" t="inlineStr">
        <is>
          <t>CF_F_000</t>
        </is>
      </c>
      <c r="B19" t="inlineStr">
        <is>
          <t>C. CASH FLOW FROM FINANCING ACTIVITIES</t>
        </is>
      </c>
      <c r="C19" t="inlineStr">
        <is>
          <t>Financing</t>
        </is>
      </c>
      <c r="D19" t="n">
        <v>3000</v>
      </c>
      <c r="E19" t="n">
        <v>0</v>
      </c>
      <c r="F19" t="inlineStr">
        <is>
          <t>Section</t>
        </is>
      </c>
    </row>
    <row r="20">
      <c r="A20" t="inlineStr">
        <is>
          <t>CF_F_010</t>
        </is>
      </c>
      <c r="B20" t="inlineStr">
        <is>
          <t>Proceeds from Borrowings</t>
        </is>
      </c>
      <c r="C20" t="inlineStr">
        <is>
          <t>Financing</t>
        </is>
      </c>
      <c r="D20" t="n">
        <v>3010</v>
      </c>
      <c r="E20" t="n">
        <v>1</v>
      </c>
      <c r="F20" t="inlineStr">
        <is>
          <t>BS_Movement</t>
        </is>
      </c>
      <c r="G20" t="inlineStr">
        <is>
          <t>BS_L_111</t>
        </is>
      </c>
      <c r="H20" t="inlineStr">
        <is>
          <t>Add</t>
        </is>
      </c>
    </row>
    <row r="21">
      <c r="A21" t="inlineStr">
        <is>
          <t>CF_F_020</t>
        </is>
      </c>
      <c r="B21" t="inlineStr">
        <is>
          <t>Interest Paid</t>
        </is>
      </c>
      <c r="C21" t="inlineStr">
        <is>
          <t>Financing</t>
        </is>
      </c>
      <c r="D21" t="n">
        <v>3020</v>
      </c>
      <c r="E21" t="n">
        <v>1</v>
      </c>
      <c r="F21" t="inlineStr">
        <is>
          <t>PL_Link</t>
        </is>
      </c>
      <c r="G21" t="inlineStr">
        <is>
          <t>PL_E_140</t>
        </is>
      </c>
      <c r="H21" t="inlineStr">
        <is>
          <t>Subtract</t>
        </is>
      </c>
    </row>
    <row r="22">
      <c r="A22" t="inlineStr">
        <is>
          <t>CF_F_100</t>
        </is>
      </c>
      <c r="B22" t="inlineStr">
        <is>
          <t>Net Cash from Financing Activities (C)</t>
        </is>
      </c>
      <c r="C22" t="inlineStr">
        <is>
          <t>Financing</t>
        </is>
      </c>
      <c r="D22" t="n">
        <v>3100</v>
      </c>
      <c r="E22" t="n">
        <v>1</v>
      </c>
      <c r="F22" t="inlineStr">
        <is>
          <t>Calculated</t>
        </is>
      </c>
      <c r="G22" t="inlineStr">
        <is>
          <t>Sum_Section</t>
        </is>
      </c>
      <c r="H22" t="inlineStr">
        <is>
          <t>Add</t>
        </is>
      </c>
    </row>
    <row r="23">
      <c r="A23" t="inlineStr">
        <is>
          <t>CF_S_000</t>
        </is>
      </c>
      <c r="B23" t="inlineStr">
        <is>
          <t>SUMMARY</t>
        </is>
      </c>
      <c r="C23" t="inlineStr">
        <is>
          <t>Summary</t>
        </is>
      </c>
      <c r="D23" t="n">
        <v>4000</v>
      </c>
      <c r="E23" t="n">
        <v>0</v>
      </c>
      <c r="F23" t="inlineStr">
        <is>
          <t>Section</t>
        </is>
      </c>
    </row>
    <row r="24">
      <c r="A24" t="inlineStr">
        <is>
          <t>CF_S_010</t>
        </is>
      </c>
      <c r="B24" t="inlineStr">
        <is>
          <t>Net Increase/(Decrease) in Cash (A+B+C)</t>
        </is>
      </c>
      <c r="C24" t="inlineStr">
        <is>
          <t>Summary</t>
        </is>
      </c>
      <c r="D24" t="n">
        <v>4010</v>
      </c>
      <c r="E24" t="n">
        <v>1</v>
      </c>
      <c r="F24" t="inlineStr">
        <is>
          <t>Calculated</t>
        </is>
      </c>
      <c r="G24" t="inlineStr">
        <is>
          <t>Sum_ABC</t>
        </is>
      </c>
      <c r="H24" t="inlineStr">
        <is>
          <t>Add</t>
        </is>
      </c>
    </row>
    <row r="25">
      <c r="A25" t="inlineStr">
        <is>
          <t>CF_S_020</t>
        </is>
      </c>
      <c r="B25" t="inlineStr">
        <is>
          <t>Cash at Beginning of Period</t>
        </is>
      </c>
      <c r="C25" t="inlineStr">
        <is>
          <t>Summary</t>
        </is>
      </c>
      <c r="D25" t="n">
        <v>4020</v>
      </c>
      <c r="E25" t="n">
        <v>1</v>
      </c>
      <c r="F25" t="inlineStr">
        <is>
          <t>BS_Opening</t>
        </is>
      </c>
      <c r="G25" t="inlineStr">
        <is>
          <t>BS_A_222</t>
        </is>
      </c>
      <c r="H25" t="inlineStr">
        <is>
          <t>Add</t>
        </is>
      </c>
    </row>
    <row r="26">
      <c r="A26" t="inlineStr">
        <is>
          <t>CF_S_030</t>
        </is>
      </c>
      <c r="B26" t="inlineStr">
        <is>
          <t>Cash at End of Period</t>
        </is>
      </c>
      <c r="C26" t="inlineStr">
        <is>
          <t>Summary</t>
        </is>
      </c>
      <c r="D26" t="n">
        <v>4030</v>
      </c>
      <c r="E26" t="n">
        <v>1</v>
      </c>
      <c r="F26" t="inlineStr">
        <is>
          <t>Calculated</t>
        </is>
      </c>
      <c r="G26" t="inlineStr">
        <is>
          <t>Sum_Change</t>
        </is>
      </c>
      <c r="H26" t="inlineStr">
        <is>
          <t>Add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D580"/>
    <outlinePr summaryBelow="1" summaryRight="1"/>
    <pageSetUpPr/>
  </sheetPr>
  <dimension ref="A1:N201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7" t="inlineStr">
        <is>
          <t>TRIAL BALANCE INPUT</t>
        </is>
      </c>
      <c r="N1" s="19" t="inlineStr">
        <is>
          <t>Account_Prefix</t>
        </is>
      </c>
    </row>
    <row r="2">
      <c r="E2" s="18" t="inlineStr">
        <is>
          <t>E001 - Parent Renewable Ltd</t>
        </is>
      </c>
      <c r="H2" s="18" t="inlineStr">
        <is>
          <t>E002 - Solar SPV 1 Ltd</t>
        </is>
      </c>
      <c r="K2" s="18" t="inlineStr">
        <is>
          <t>E003 - Solar SPV 2 Ltd</t>
        </is>
      </c>
    </row>
    <row r="3">
      <c r="E3" s="18" t="inlineStr">
        <is>
          <t>Jan-2024</t>
        </is>
      </c>
      <c r="H3" s="18" t="inlineStr">
        <is>
          <t>Jan-2024</t>
        </is>
      </c>
      <c r="K3" s="18" t="inlineStr">
        <is>
          <t>Jan-2024</t>
        </is>
      </c>
    </row>
    <row r="4">
      <c r="A4" s="19" t="inlineStr">
        <is>
          <t>Account_Code</t>
        </is>
      </c>
      <c r="B4" s="19" t="inlineStr">
        <is>
          <t>Account_Name</t>
        </is>
      </c>
      <c r="C4" s="19" t="inlineStr">
        <is>
          <t>FS_Category</t>
        </is>
      </c>
      <c r="D4" s="19" t="inlineStr">
        <is>
          <t>Account_Nature</t>
        </is>
      </c>
      <c r="E4" s="19" t="inlineStr">
        <is>
          <t>Dr</t>
        </is>
      </c>
      <c r="F4" s="19" t="inlineStr">
        <is>
          <t>Cr</t>
        </is>
      </c>
      <c r="G4" s="19" t="inlineStr">
        <is>
          <t>Net</t>
        </is>
      </c>
      <c r="H4" s="19" t="inlineStr">
        <is>
          <t>Dr</t>
        </is>
      </c>
      <c r="I4" s="19" t="inlineStr">
        <is>
          <t>Cr</t>
        </is>
      </c>
      <c r="J4" s="19" t="inlineStr">
        <is>
          <t>Net</t>
        </is>
      </c>
      <c r="K4" s="19" t="inlineStr">
        <is>
          <t>Dr</t>
        </is>
      </c>
      <c r="L4" s="19" t="inlineStr">
        <is>
          <t>Cr</t>
        </is>
      </c>
      <c r="M4" s="19" t="inlineStr">
        <is>
          <t>Net</t>
        </is>
      </c>
    </row>
    <row r="5">
      <c r="A5" t="inlineStr">
        <is>
          <t>100001</t>
        </is>
      </c>
      <c r="B5" t="inlineStr">
        <is>
          <t>Cash in Hand</t>
        </is>
      </c>
      <c r="C5" t="inlineStr">
        <is>
          <t>BS</t>
        </is>
      </c>
      <c r="D5" t="inlineStr">
        <is>
          <t>Debit</t>
        </is>
      </c>
      <c r="E5" s="20" t="n">
        <v>600</v>
      </c>
      <c r="F5" s="20" t="n">
        <v>0</v>
      </c>
      <c r="G5" s="20">
        <f>IF($D5="Debit",E5-F5,F5-E5)</f>
        <v/>
      </c>
      <c r="H5" s="20" t="n">
        <v>100</v>
      </c>
      <c r="I5" s="20" t="n">
        <v>0</v>
      </c>
      <c r="J5" s="20">
        <f>IF($D5="Debit",H5-I5,I5-H5)</f>
        <v/>
      </c>
      <c r="K5" s="20" t="n">
        <v>50</v>
      </c>
      <c r="L5" s="20" t="n">
        <v>0</v>
      </c>
      <c r="M5" s="20">
        <f>IF($D5="Debit",K5-L5,L5-K5)</f>
        <v/>
      </c>
      <c r="N5">
        <f>LEFT(A5,3)</f>
        <v/>
      </c>
    </row>
    <row r="6">
      <c r="A6" t="inlineStr">
        <is>
          <t>110001</t>
        </is>
      </c>
      <c r="B6" t="inlineStr">
        <is>
          <t>PPE - Solar Plants</t>
        </is>
      </c>
      <c r="C6" t="inlineStr">
        <is>
          <t>BS</t>
        </is>
      </c>
      <c r="D6" t="inlineStr">
        <is>
          <t>Debit</t>
        </is>
      </c>
      <c r="E6" s="20" t="n">
        <v>11000</v>
      </c>
      <c r="F6" s="20" t="n">
        <v>1000</v>
      </c>
      <c r="G6" s="20">
        <f>IF($D6="Debit",E6-F6,F6-E6)</f>
        <v/>
      </c>
      <c r="H6" s="20" t="n">
        <v>50000</v>
      </c>
      <c r="I6" s="20" t="n">
        <v>5000</v>
      </c>
      <c r="J6" s="20">
        <f>IF($D6="Debit",H6-I6,I6-H6)</f>
        <v/>
      </c>
      <c r="K6" s="20" t="n">
        <v>25000</v>
      </c>
      <c r="L6" s="20" t="n">
        <v>2500</v>
      </c>
      <c r="M6" s="20">
        <f>IF($D6="Debit",K6-L6,L6-K6)</f>
        <v/>
      </c>
      <c r="N6">
        <f>LEFT(A6,3)</f>
        <v/>
      </c>
    </row>
    <row r="7">
      <c r="A7" t="inlineStr">
        <is>
          <t>111001</t>
        </is>
      </c>
      <c r="B7" t="inlineStr">
        <is>
          <t>CWIP - Solar Projects</t>
        </is>
      </c>
      <c r="C7" t="inlineStr">
        <is>
          <t>BS</t>
        </is>
      </c>
      <c r="D7" t="inlineStr">
        <is>
          <t>Debit</t>
        </is>
      </c>
      <c r="E7" s="20" t="n">
        <v>2000</v>
      </c>
      <c r="F7" s="20" t="n">
        <v>0</v>
      </c>
      <c r="G7" s="20">
        <f>IF($D7="Debit",E7-F7,F7-E7)</f>
        <v/>
      </c>
      <c r="H7" s="20" t="n">
        <v>30000</v>
      </c>
      <c r="I7" s="20" t="n">
        <v>0</v>
      </c>
      <c r="J7" s="20">
        <f>IF($D7="Debit",H7-I7,I7-H7)</f>
        <v/>
      </c>
      <c r="K7" s="20" t="n">
        <v>10000</v>
      </c>
      <c r="L7" s="20" t="n">
        <v>0</v>
      </c>
      <c r="M7" s="20">
        <f>IF($D7="Debit",K7-L7,L7-K7)</f>
        <v/>
      </c>
      <c r="N7">
        <f>LEFT(A7,3)</f>
        <v/>
      </c>
    </row>
    <row r="8">
      <c r="A8" t="inlineStr">
        <is>
          <t>122001</t>
        </is>
      </c>
      <c r="B8" t="inlineStr">
        <is>
          <t>Loan to SPV</t>
        </is>
      </c>
      <c r="C8" t="inlineStr">
        <is>
          <t>BS</t>
        </is>
      </c>
      <c r="D8" t="inlineStr">
        <is>
          <t>Debit</t>
        </is>
      </c>
      <c r="E8" s="20" t="n">
        <v>20000</v>
      </c>
      <c r="F8" s="20" t="n">
        <v>0</v>
      </c>
      <c r="G8" s="20">
        <f>IF($D8="Debit",E8-F8,F8-E8)</f>
        <v/>
      </c>
      <c r="H8" s="20" t="n">
        <v>0</v>
      </c>
      <c r="I8" s="20" t="n">
        <v>0</v>
      </c>
      <c r="J8" s="20">
        <f>IF($D8="Debit",H8-I8,I8-H8)</f>
        <v/>
      </c>
      <c r="K8" s="20" t="n">
        <v>0</v>
      </c>
      <c r="L8" s="20" t="n">
        <v>0</v>
      </c>
      <c r="M8" s="20">
        <f>IF($D8="Debit",K8-L8,L8-K8)</f>
        <v/>
      </c>
      <c r="N8">
        <f>LEFT(A8,3)</f>
        <v/>
      </c>
    </row>
    <row r="9">
      <c r="A9" t="inlineStr">
        <is>
          <t>141001</t>
        </is>
      </c>
      <c r="B9" t="inlineStr">
        <is>
          <t>Trade Receivables</t>
        </is>
      </c>
      <c r="C9" t="inlineStr">
        <is>
          <t>BS</t>
        </is>
      </c>
      <c r="D9" t="inlineStr">
        <is>
          <t>Debit</t>
        </is>
      </c>
      <c r="E9" s="20" t="n">
        <v>5000</v>
      </c>
      <c r="F9" s="20" t="n">
        <v>0</v>
      </c>
      <c r="G9" s="20">
        <f>IF($D9="Debit",E9-F9,F9-E9)</f>
        <v/>
      </c>
      <c r="H9" s="20" t="n">
        <v>8000</v>
      </c>
      <c r="I9" s="20" t="n">
        <v>0</v>
      </c>
      <c r="J9" s="20">
        <f>IF($D9="Debit",H9-I9,I9-H9)</f>
        <v/>
      </c>
      <c r="K9" s="20" t="n">
        <v>3000</v>
      </c>
      <c r="L9" s="20" t="n">
        <v>0</v>
      </c>
      <c r="M9" s="20">
        <f>IF($D9="Debit",K9-L9,L9-K9)</f>
        <v/>
      </c>
      <c r="N9">
        <f>LEFT(A9,3)</f>
        <v/>
      </c>
    </row>
    <row r="10">
      <c r="A10" t="inlineStr">
        <is>
          <t>142001</t>
        </is>
      </c>
      <c r="B10" t="inlineStr">
        <is>
          <t>Cash at Bank</t>
        </is>
      </c>
      <c r="C10" t="inlineStr">
        <is>
          <t>BS</t>
        </is>
      </c>
      <c r="D10" t="inlineStr">
        <is>
          <t>Debit</t>
        </is>
      </c>
      <c r="E10" s="20" t="n">
        <v>15000</v>
      </c>
      <c r="F10" s="20" t="n">
        <v>0</v>
      </c>
      <c r="G10" s="20">
        <f>IF($D10="Debit",E10-F10,F10-E10)</f>
        <v/>
      </c>
      <c r="H10" s="20" t="n">
        <v>2000</v>
      </c>
      <c r="I10" s="20" t="n">
        <v>0</v>
      </c>
      <c r="J10" s="20">
        <f>IF($D10="Debit",H10-I10,I10-H10)</f>
        <v/>
      </c>
      <c r="K10" s="20" t="n">
        <v>1000</v>
      </c>
      <c r="L10" s="20" t="n">
        <v>0</v>
      </c>
      <c r="M10" s="20">
        <f>IF($D10="Debit",K10-L10,L10-K10)</f>
        <v/>
      </c>
      <c r="N10">
        <f>LEFT(A10,3)</f>
        <v/>
      </c>
    </row>
    <row r="11">
      <c r="A11" t="inlineStr">
        <is>
          <t>200001</t>
        </is>
      </c>
      <c r="B11" t="inlineStr">
        <is>
          <t>Equity Share Capital</t>
        </is>
      </c>
      <c r="C11" t="inlineStr">
        <is>
          <t>BS</t>
        </is>
      </c>
      <c r="D11" t="inlineStr">
        <is>
          <t>Credit</t>
        </is>
      </c>
      <c r="E11" s="20" t="n">
        <v>0</v>
      </c>
      <c r="F11" s="20" t="n">
        <v>50000</v>
      </c>
      <c r="G11" s="20">
        <f>IF($D11="Debit",E11-F11,F11-E11)</f>
        <v/>
      </c>
      <c r="H11" s="20" t="n">
        <v>0</v>
      </c>
      <c r="I11" s="20" t="n">
        <v>30000</v>
      </c>
      <c r="J11" s="20">
        <f>IF($D11="Debit",H11-I11,I11-H11)</f>
        <v/>
      </c>
      <c r="K11" s="20" t="n">
        <v>0</v>
      </c>
      <c r="L11" s="20" t="n">
        <v>15000</v>
      </c>
      <c r="M11" s="20">
        <f>IF($D11="Debit",K11-L11,L11-K11)</f>
        <v/>
      </c>
      <c r="N11">
        <f>LEFT(A11,3)</f>
        <v/>
      </c>
    </row>
    <row r="12">
      <c r="A12" t="inlineStr">
        <is>
          <t>210001</t>
        </is>
      </c>
      <c r="B12" t="inlineStr">
        <is>
          <t>Retained Earnings</t>
        </is>
      </c>
      <c r="C12" t="inlineStr">
        <is>
          <t>BS</t>
        </is>
      </c>
      <c r="D12" t="inlineStr">
        <is>
          <t>Credit</t>
        </is>
      </c>
      <c r="E12" s="20" t="n">
        <v>0</v>
      </c>
      <c r="F12" s="20" t="n">
        <v>5000</v>
      </c>
      <c r="G12" s="20">
        <f>IF($D12="Debit",E12-F12,F12-E12)</f>
        <v/>
      </c>
      <c r="H12" s="20" t="n">
        <v>0</v>
      </c>
      <c r="I12" s="20" t="n">
        <v>2000</v>
      </c>
      <c r="J12" s="20">
        <f>IF($D12="Debit",H12-I12,I12-H12)</f>
        <v/>
      </c>
      <c r="K12" s="20" t="n">
        <v>0</v>
      </c>
      <c r="L12" s="20" t="n">
        <v>1000</v>
      </c>
      <c r="M12" s="20">
        <f>IF($D12="Debit",K12-L12,L12-K12)</f>
        <v/>
      </c>
      <c r="N12">
        <f>LEFT(A12,3)</f>
        <v/>
      </c>
    </row>
    <row r="13">
      <c r="A13" t="inlineStr">
        <is>
          <t>300001</t>
        </is>
      </c>
      <c r="B13" t="inlineStr">
        <is>
          <t>Term Loans</t>
        </is>
      </c>
      <c r="C13" t="inlineStr">
        <is>
          <t>BS</t>
        </is>
      </c>
      <c r="D13" t="inlineStr">
        <is>
          <t>Credit</t>
        </is>
      </c>
      <c r="E13" s="20" t="n">
        <v>0</v>
      </c>
      <c r="F13" s="20" t="n">
        <v>0</v>
      </c>
      <c r="G13" s="20">
        <f>IF($D13="Debit",E13-F13,F13-E13)</f>
        <v/>
      </c>
      <c r="H13" s="20" t="n">
        <v>0</v>
      </c>
      <c r="I13" s="20" t="n">
        <v>30000</v>
      </c>
      <c r="J13" s="20">
        <f>IF($D13="Debit",H13-I13,I13-H13)</f>
        <v/>
      </c>
      <c r="K13" s="20" t="n">
        <v>0</v>
      </c>
      <c r="L13" s="20" t="n">
        <v>15000</v>
      </c>
      <c r="M13" s="20">
        <f>IF($D13="Debit",K13-L13,L13-K13)</f>
        <v/>
      </c>
      <c r="N13">
        <f>LEFT(A13,3)</f>
        <v/>
      </c>
    </row>
    <row r="14">
      <c r="A14" t="inlineStr">
        <is>
          <t>302001</t>
        </is>
      </c>
      <c r="B14" t="inlineStr">
        <is>
          <t>Loan from Parent</t>
        </is>
      </c>
      <c r="C14" t="inlineStr">
        <is>
          <t>BS</t>
        </is>
      </c>
      <c r="D14" t="inlineStr">
        <is>
          <t>Credit</t>
        </is>
      </c>
      <c r="E14" s="20" t="n">
        <v>0</v>
      </c>
      <c r="F14" s="20" t="n">
        <v>0</v>
      </c>
      <c r="G14" s="20">
        <f>IF($D14="Debit",E14-F14,F14-E14)</f>
        <v/>
      </c>
      <c r="H14" s="20" t="n">
        <v>0</v>
      </c>
      <c r="I14" s="20" t="n">
        <v>20000</v>
      </c>
      <c r="J14" s="20">
        <f>IF($D14="Debit",H14-I14,I14-H14)</f>
        <v/>
      </c>
      <c r="K14" s="20" t="n">
        <v>0</v>
      </c>
      <c r="L14" s="20" t="n">
        <v>0</v>
      </c>
      <c r="M14" s="20">
        <f>IF($D14="Debit",K14-L14,L14-K14)</f>
        <v/>
      </c>
      <c r="N14">
        <f>LEFT(A14,3)</f>
        <v/>
      </c>
    </row>
    <row r="15">
      <c r="A15" t="inlineStr">
        <is>
          <t>402001</t>
        </is>
      </c>
      <c r="B15" t="inlineStr">
        <is>
          <t>Trade Payables</t>
        </is>
      </c>
      <c r="C15" t="inlineStr">
        <is>
          <t>BS</t>
        </is>
      </c>
      <c r="D15" t="inlineStr">
        <is>
          <t>Credit</t>
        </is>
      </c>
      <c r="E15" s="20" t="n">
        <v>0</v>
      </c>
      <c r="F15" s="20" t="n">
        <v>2500</v>
      </c>
      <c r="G15" s="20">
        <f>IF($D15="Debit",E15-F15,F15-E15)</f>
        <v/>
      </c>
      <c r="H15" s="20" t="n">
        <v>0</v>
      </c>
      <c r="I15" s="20" t="n">
        <v>5000</v>
      </c>
      <c r="J15" s="20">
        <f>IF($D15="Debit",H15-I15,I15-H15)</f>
        <v/>
      </c>
      <c r="K15" s="20" t="n">
        <v>0</v>
      </c>
      <c r="L15" s="20" t="n">
        <v>2500</v>
      </c>
      <c r="M15" s="20">
        <f>IF($D15="Debit",K15-L15,L15-K15)</f>
        <v/>
      </c>
      <c r="N15">
        <f>LEFT(A15,3)</f>
        <v/>
      </c>
    </row>
    <row r="16">
      <c r="A16" t="inlineStr">
        <is>
          <t>500001</t>
        </is>
      </c>
      <c r="B16" t="inlineStr">
        <is>
          <t>Power Sales - Solar</t>
        </is>
      </c>
      <c r="C16" t="inlineStr">
        <is>
          <t>PL</t>
        </is>
      </c>
      <c r="D16" t="inlineStr">
        <is>
          <t>Credit</t>
        </is>
      </c>
      <c r="E16" s="20" t="n">
        <v>0</v>
      </c>
      <c r="F16" s="20" t="n">
        <v>0</v>
      </c>
      <c r="G16" s="20">
        <f>IF($D16="Debit",E16-F16,F16-E16)</f>
        <v/>
      </c>
      <c r="H16" s="20" t="n">
        <v>0</v>
      </c>
      <c r="I16" s="20" t="n">
        <v>10000</v>
      </c>
      <c r="J16" s="20">
        <f>IF($D16="Debit",H16-I16,I16-H16)</f>
        <v/>
      </c>
      <c r="K16" s="20" t="n">
        <v>0</v>
      </c>
      <c r="L16" s="20" t="n">
        <v>5000</v>
      </c>
      <c r="M16" s="20">
        <f>IF($D16="Debit",K16-L16,L16-K16)</f>
        <v/>
      </c>
      <c r="N16">
        <f>LEFT(A16,3)</f>
        <v/>
      </c>
    </row>
    <row r="17">
      <c r="A17" t="inlineStr">
        <is>
          <t>510001</t>
        </is>
      </c>
      <c r="B17" t="inlineStr">
        <is>
          <t>EPC Revenue</t>
        </is>
      </c>
      <c r="C17" t="inlineStr">
        <is>
          <t>PL</t>
        </is>
      </c>
      <c r="D17" t="inlineStr">
        <is>
          <t>Credit</t>
        </is>
      </c>
      <c r="E17" s="20" t="n">
        <v>0</v>
      </c>
      <c r="F17" s="20" t="n">
        <v>30000</v>
      </c>
      <c r="G17" s="20">
        <f>IF($D17="Debit",E17-F17,F17-E17)</f>
        <v/>
      </c>
      <c r="H17" s="20" t="n">
        <v>0</v>
      </c>
      <c r="I17" s="20" t="n">
        <v>0</v>
      </c>
      <c r="J17" s="20">
        <f>IF($D17="Debit",H17-I17,I17-H17)</f>
        <v/>
      </c>
      <c r="K17" s="20" t="n">
        <v>0</v>
      </c>
      <c r="L17" s="20" t="n">
        <v>0</v>
      </c>
      <c r="M17" s="20">
        <f>IF($D17="Debit",K17-L17,L17-K17)</f>
        <v/>
      </c>
      <c r="N17">
        <f>LEFT(A17,3)</f>
        <v/>
      </c>
    </row>
    <row r="18">
      <c r="A18" t="inlineStr">
        <is>
          <t>630001</t>
        </is>
      </c>
      <c r="B18" t="inlineStr">
        <is>
          <t>Employee Salaries</t>
        </is>
      </c>
      <c r="C18" t="inlineStr">
        <is>
          <t>PL</t>
        </is>
      </c>
      <c r="D18" t="inlineStr">
        <is>
          <t>Debit</t>
        </is>
      </c>
      <c r="E18" s="20" t="n">
        <v>5000</v>
      </c>
      <c r="F18" s="20" t="n">
        <v>0</v>
      </c>
      <c r="G18" s="20">
        <f>IF($D18="Debit",E18-F18,F18-E18)</f>
        <v/>
      </c>
      <c r="H18" s="20" t="n">
        <v>500</v>
      </c>
      <c r="I18" s="20" t="n">
        <v>0</v>
      </c>
      <c r="J18" s="20">
        <f>IF($D18="Debit",H18-I18,I18-H18)</f>
        <v/>
      </c>
      <c r="K18" s="20" t="n">
        <v>300</v>
      </c>
      <c r="L18" s="20" t="n">
        <v>0</v>
      </c>
      <c r="M18" s="20">
        <f>IF($D18="Debit",K18-L18,L18-K18)</f>
        <v/>
      </c>
      <c r="N18">
        <f>LEFT(A18,3)</f>
        <v/>
      </c>
    </row>
    <row r="19">
      <c r="A19" t="inlineStr">
        <is>
          <t>640001</t>
        </is>
      </c>
      <c r="B19" t="inlineStr">
        <is>
          <t>Finance Costs</t>
        </is>
      </c>
      <c r="C19" t="inlineStr">
        <is>
          <t>PL</t>
        </is>
      </c>
      <c r="D19" t="inlineStr">
        <is>
          <t>Debit</t>
        </is>
      </c>
      <c r="E19" s="20" t="n">
        <v>100</v>
      </c>
      <c r="F19" s="20" t="n">
        <v>0</v>
      </c>
      <c r="G19" s="20">
        <f>IF($D19="Debit",E19-F19,F19-E19)</f>
        <v/>
      </c>
      <c r="H19" s="20" t="n">
        <v>2000</v>
      </c>
      <c r="I19" s="20" t="n">
        <v>0</v>
      </c>
      <c r="J19" s="20">
        <f>IF($D19="Debit",H19-I19,I19-H19)</f>
        <v/>
      </c>
      <c r="K19" s="20" t="n">
        <v>1000</v>
      </c>
      <c r="L19" s="20" t="n">
        <v>0</v>
      </c>
      <c r="M19" s="20">
        <f>IF($D19="Debit",K19-L19,L19-K19)</f>
        <v/>
      </c>
      <c r="N19">
        <f>LEFT(A19,3)</f>
        <v/>
      </c>
    </row>
    <row r="20">
      <c r="A20" t="inlineStr">
        <is>
          <t>650001</t>
        </is>
      </c>
      <c r="B20" t="inlineStr">
        <is>
          <t>Depreciation</t>
        </is>
      </c>
      <c r="C20" t="inlineStr">
        <is>
          <t>PL</t>
        </is>
      </c>
      <c r="D20" t="inlineStr">
        <is>
          <t>Debit</t>
        </is>
      </c>
      <c r="E20" s="20" t="n">
        <v>1000</v>
      </c>
      <c r="F20" s="20" t="n">
        <v>0</v>
      </c>
      <c r="G20" s="20">
        <f>IF($D20="Debit",E20-F20,F20-E20)</f>
        <v/>
      </c>
      <c r="H20" s="20" t="n">
        <v>5000</v>
      </c>
      <c r="I20" s="20" t="n">
        <v>0</v>
      </c>
      <c r="J20" s="20">
        <f>IF($D20="Debit",H20-I20,I20-H20)</f>
        <v/>
      </c>
      <c r="K20" s="20" t="n">
        <v>2500</v>
      </c>
      <c r="L20" s="20" t="n">
        <v>0</v>
      </c>
      <c r="M20" s="20">
        <f>IF($D20="Debit",K20-L20,L20-K20)</f>
        <v/>
      </c>
      <c r="N20">
        <f>LEFT(A20,3)</f>
        <v/>
      </c>
    </row>
    <row r="21">
      <c r="A21" t="inlineStr">
        <is>
          <t>610001</t>
        </is>
      </c>
      <c r="B21" t="inlineStr">
        <is>
          <t>EPC Material Costs</t>
        </is>
      </c>
      <c r="C21" t="inlineStr">
        <is>
          <t>PL</t>
        </is>
      </c>
      <c r="D21" t="inlineStr">
        <is>
          <t>Debit</t>
        </is>
      </c>
      <c r="E21" s="20" t="n">
        <v>20000</v>
      </c>
      <c r="F21" s="20" t="n">
        <v>0</v>
      </c>
      <c r="G21" s="20">
        <f>IF($D21="Debit",E21-F21,F21-E21)</f>
        <v/>
      </c>
      <c r="H21" s="20" t="n">
        <v>0</v>
      </c>
      <c r="I21" s="20" t="n">
        <v>0</v>
      </c>
      <c r="J21" s="20">
        <f>IF($D21="Debit",H21-I21,I21-H21)</f>
        <v/>
      </c>
      <c r="K21" s="20" t="n">
        <v>0</v>
      </c>
      <c r="L21" s="20" t="n">
        <v>0</v>
      </c>
      <c r="M21" s="20">
        <f>IF($D21="Debit",K21-L21,L21-K21)</f>
        <v/>
      </c>
      <c r="N21">
        <f>LEFT(A21,3)</f>
        <v/>
      </c>
    </row>
    <row r="22">
      <c r="A22" t="inlineStr">
        <is>
          <t>660001</t>
        </is>
      </c>
      <c r="B22" t="inlineStr">
        <is>
          <t>O&amp;M Expenses</t>
        </is>
      </c>
      <c r="C22" t="inlineStr">
        <is>
          <t>PL</t>
        </is>
      </c>
      <c r="D22" t="inlineStr">
        <is>
          <t>Debit</t>
        </is>
      </c>
      <c r="E22" s="20" t="n">
        <v>0</v>
      </c>
      <c r="F22" s="20" t="n">
        <v>0</v>
      </c>
      <c r="G22" s="20">
        <f>IF($D22="Debit",E22-F22,F22-E22)</f>
        <v/>
      </c>
      <c r="H22" s="20" t="n">
        <v>1000</v>
      </c>
      <c r="I22" s="20" t="n">
        <v>0</v>
      </c>
      <c r="J22" s="20">
        <f>IF($D22="Debit",H22-I22,I22-H22)</f>
        <v/>
      </c>
      <c r="K22" s="20" t="n">
        <v>500</v>
      </c>
      <c r="L22" s="20" t="n">
        <v>0</v>
      </c>
      <c r="M22" s="20">
        <f>IF($D22="Debit",K22-L22,L22-K22)</f>
        <v/>
      </c>
      <c r="N22">
        <f>LEFT(A22,3)</f>
        <v/>
      </c>
    </row>
    <row r="23">
      <c r="A23" s="15" t="inlineStr">
        <is>
          <t>TOTAL</t>
        </is>
      </c>
      <c r="E23" s="21" t="n">
        <v>79600</v>
      </c>
      <c r="F23" s="21" t="n">
        <v>88500</v>
      </c>
      <c r="G23" s="21">
        <f>IF($D23="Debit",E23-F23,F23-E23)</f>
        <v/>
      </c>
      <c r="H23" s="21" t="n">
        <v>98600</v>
      </c>
      <c r="I23" s="21" t="n">
        <v>102000</v>
      </c>
      <c r="J23" s="21">
        <f>IF($D23="Debit",H23-I23,I23-H23)</f>
        <v/>
      </c>
      <c r="K23" s="21" t="n">
        <v>43350</v>
      </c>
      <c r="L23" s="21" t="n">
        <v>41000</v>
      </c>
      <c r="M23" s="21">
        <f>IF($D23="Debit",K23-L23,L23-K23)</f>
        <v/>
      </c>
      <c r="N23">
        <f>LEFT(A23,3)</f>
        <v/>
      </c>
    </row>
    <row r="24">
      <c r="A24" t="inlineStr">
        <is>
          <t>115999</t>
        </is>
      </c>
      <c r="B24" t="inlineStr">
        <is>
          <t>TEST - New PPE Account</t>
        </is>
      </c>
      <c r="C24" t="inlineStr">
        <is>
          <t>BS</t>
        </is>
      </c>
      <c r="D24" t="inlineStr">
        <is>
          <t>Debit</t>
        </is>
      </c>
      <c r="E24" t="n">
        <v>1000</v>
      </c>
      <c r="F24" t="n">
        <v>0</v>
      </c>
      <c r="G24">
        <f>IF($D24="Debit",E24-F24,F24-E24)</f>
        <v/>
      </c>
      <c r="J24">
        <f>IF($D24="Debit",H24-I24,I24-H24)</f>
        <v/>
      </c>
      <c r="M24">
        <f>IF($D24="Debit",K24-L24,L24-K24)</f>
        <v/>
      </c>
    </row>
    <row r="25">
      <c r="A25" t="inlineStr">
        <is>
          <t>510005</t>
        </is>
      </c>
      <c r="B25" t="inlineStr">
        <is>
          <t>Test Revenue</t>
        </is>
      </c>
      <c r="D25" t="inlineStr">
        <is>
          <t>Credit</t>
        </is>
      </c>
      <c r="E25" t="n">
        <v>500</v>
      </c>
      <c r="F25" t="n">
        <v>0</v>
      </c>
      <c r="H25" t="n">
        <v>600</v>
      </c>
      <c r="I25" t="n">
        <v>0</v>
      </c>
      <c r="K25" t="n">
        <v>700</v>
      </c>
      <c r="L25" t="n">
        <v>0</v>
      </c>
    </row>
    <row r="201">
      <c r="A201" t="inlineStr">
        <is>
          <t>610001</t>
        </is>
      </c>
      <c r="B201" t="inlineStr">
        <is>
          <t>Test Expense Beyond Boundary</t>
        </is>
      </c>
      <c r="D201" t="inlineStr">
        <is>
          <t>Debit</t>
        </is>
      </c>
      <c r="E201" t="n">
        <v>5000</v>
      </c>
      <c r="F201" t="n">
        <v>0</v>
      </c>
    </row>
  </sheetData>
  <mergeCells count="7">
    <mergeCell ref="A1:D1"/>
    <mergeCell ref="E2:G2"/>
    <mergeCell ref="K2:M2"/>
    <mergeCell ref="K3:M3"/>
    <mergeCell ref="E3:G3"/>
    <mergeCell ref="H2:J2"/>
    <mergeCell ref="H3:J3"/>
  </mergeCells>
  <dataValidations count="8">
    <dataValidation sqref="A5:A200" showDropDown="0" showInputMessage="0" showErrorMessage="0" allowBlank="0" errorTitle="Invalid Account Code" error="Enter a 6-digit numeric account code (e.g., 510001). No spaces." promptTitle="Account Code Entry" prompt="6-digit code format required (e.g., 510001)" type="custom">
      <formula1>AND(LEN(A5)=6, ISNUMBER(VALUE(A5)))</formula1>
    </dataValidation>
    <dataValidation sqref="D5:D200" showDropDown="1" showInputMessage="0" showErrorMessage="0" allowBlank="0" errorTitle="Invalid Nature" error="Enter exactly 'Debit' or 'Credit'" promptTitle="Transaction Nature" prompt="Select Debit or Credit" type="list">
      <formula1>"Debit,Credit"</formula1>
    </dataValidation>
    <dataValidation sqref="E5:E200" showDropDown="0" showInputMessage="0" showErrorMessage="0" allowBlank="1" errorTitle="Invalid Amount" error="Enter a positive numeric value (&gt;= 0)" promptTitle="Opening Debit Amount" prompt="Positive numeric value" type="decimal" operator="greaterThanOrEqual">
      <formula1>0</formula1>
    </dataValidation>
    <dataValidation sqref="F5:F200" showDropDown="0" showInputMessage="0" showErrorMessage="0" allowBlank="1" errorTitle="Invalid Amount" error="Enter a positive numeric value (&gt;= 0)" type="decimal" operator="greaterThanOrEqual">
      <formula1>0</formula1>
    </dataValidation>
    <dataValidation sqref="H5:H200" showDropDown="0" showInputMessage="0" showErrorMessage="0" allowBlank="1" errorTitle="Invalid Amount" error="Enter a positive numeric value (&gt;= 0)" type="decimal" operator="greaterThanOrEqual">
      <formula1>0</formula1>
    </dataValidation>
    <dataValidation sqref="I5:I200" showDropDown="0" showInputMessage="0" showErrorMessage="0" allowBlank="1" errorTitle="Invalid Amount" error="Enter a positive numeric value (&gt;= 0)" type="decimal" operator="greaterThanOrEqual">
      <formula1>0</formula1>
    </dataValidation>
    <dataValidation sqref="K5:K200" showDropDown="0" showInputMessage="0" showErrorMessage="0" allowBlank="1" errorTitle="Invalid Amount" error="Enter a positive numeric value (&gt;= 0)" type="decimal" operator="greaterThanOrEqual">
      <formula1>0</formula1>
    </dataValidation>
    <dataValidation sqref="L5:L200" showDropDown="0" showInputMessage="0" showErrorMessage="0" allowBlank="1" errorTitle="Invalid Amount" error="Enter a positive numeric value (&gt;= 0)" type="decimal" operator="greaterThanOrEqual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D580"/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40" customWidth="1" min="5" max="5"/>
    <col width="15" customWidth="1" min="6" max="6"/>
    <col width="12" customWidth="1" min="7" max="7"/>
    <col width="15" customWidth="1" min="8" max="8"/>
    <col width="12" customWidth="1" min="9" max="9"/>
    <col width="20" customWidth="1" min="10" max="10"/>
    <col width="20" customWidth="1" min="11" max="11"/>
    <col width="18" customWidth="1" min="12" max="12"/>
    <col width="30" customWidth="1" min="13" max="13"/>
  </cols>
  <sheetData>
    <row r="1">
      <c r="A1" s="22" t="inlineStr">
        <is>
          <t>IC_Trans_ID</t>
        </is>
      </c>
      <c r="B1" s="22" t="inlineStr">
        <is>
          <t>Transaction_Type</t>
        </is>
      </c>
      <c r="C1" s="22" t="inlineStr">
        <is>
          <t>From_Entity_ID</t>
        </is>
      </c>
      <c r="D1" s="22" t="inlineStr">
        <is>
          <t>To_Entity_ID</t>
        </is>
      </c>
      <c r="E1" s="22" t="inlineStr">
        <is>
          <t>Description</t>
        </is>
      </c>
      <c r="F1" s="22" t="inlineStr">
        <is>
          <t>Amount</t>
        </is>
      </c>
      <c r="G1" s="22" t="inlineStr">
        <is>
          <t>Profit_%</t>
        </is>
      </c>
      <c r="H1" s="22" t="inlineStr">
        <is>
          <t>Profit_Amount</t>
        </is>
      </c>
      <c r="I1" s="22" t="inlineStr">
        <is>
          <t>Period</t>
        </is>
      </c>
      <c r="J1" s="22" t="inlineStr">
        <is>
          <t>FS_Impact_From</t>
        </is>
      </c>
      <c r="K1" s="22" t="inlineStr">
        <is>
          <t>FS_Impact_To</t>
        </is>
      </c>
      <c r="L1" s="22" t="inlineStr">
        <is>
          <t>Elimination_Status</t>
        </is>
      </c>
      <c r="M1" s="22" t="inlineStr">
        <is>
          <t>Notes</t>
        </is>
      </c>
    </row>
    <row r="2">
      <c r="A2" t="inlineStr">
        <is>
          <t>IC001</t>
        </is>
      </c>
      <c r="B2" t="inlineStr">
        <is>
          <t>EPC_Revenue</t>
        </is>
      </c>
      <c r="C2" t="inlineStr">
        <is>
          <t>E001</t>
        </is>
      </c>
      <c r="D2" t="inlineStr">
        <is>
          <t>E002</t>
        </is>
      </c>
      <c r="E2" t="inlineStr">
        <is>
          <t>Solar plant construction for SPV1</t>
        </is>
      </c>
      <c r="F2" s="20" t="n">
        <v>30000</v>
      </c>
      <c r="G2" s="11" t="n">
        <v>0.1</v>
      </c>
      <c r="H2" s="20">
        <f>IF(B2="EPC_Revenue", F2*G2, 0)</f>
        <v/>
      </c>
      <c r="I2" t="inlineStr">
        <is>
          <t>Jan-2024</t>
        </is>
      </c>
      <c r="J2" t="inlineStr">
        <is>
          <t>EPC Revenue</t>
        </is>
      </c>
      <c r="K2" t="inlineStr">
        <is>
          <t>CWIP</t>
        </is>
      </c>
      <c r="L2" t="inlineStr">
        <is>
          <t>Pending</t>
        </is>
      </c>
      <c r="M2" t="inlineStr">
        <is>
          <t>To be eliminated</t>
        </is>
      </c>
    </row>
    <row r="3">
      <c r="A3" t="inlineStr">
        <is>
          <t>IC002</t>
        </is>
      </c>
      <c r="B3" t="inlineStr">
        <is>
          <t>Loan_Given</t>
        </is>
      </c>
      <c r="C3" t="inlineStr">
        <is>
          <t>E001</t>
        </is>
      </c>
      <c r="D3" t="inlineStr">
        <is>
          <t>E002</t>
        </is>
      </c>
      <c r="E3" t="inlineStr">
        <is>
          <t>Project financing loan to SPV1</t>
        </is>
      </c>
      <c r="F3" s="20" t="n">
        <v>20000</v>
      </c>
      <c r="G3" s="11" t="n">
        <v>0</v>
      </c>
      <c r="H3" s="20">
        <f>IF(B3="EPC_Revenue", F3*G3, 0)</f>
        <v/>
      </c>
      <c r="I3" t="inlineStr">
        <is>
          <t>Jan-2024</t>
        </is>
      </c>
      <c r="J3" t="inlineStr">
        <is>
          <t>Loan Asset</t>
        </is>
      </c>
      <c r="K3" t="inlineStr">
        <is>
          <t>Loan Liability</t>
        </is>
      </c>
      <c r="L3" t="inlineStr">
        <is>
          <t>Pending</t>
        </is>
      </c>
      <c r="M3" t="inlineStr">
        <is>
          <t>To be eliminated</t>
        </is>
      </c>
    </row>
    <row r="4">
      <c r="A4" t="inlineStr">
        <is>
          <t>IC003</t>
        </is>
      </c>
      <c r="B4" t="inlineStr">
        <is>
          <t>Interest_Charged</t>
        </is>
      </c>
      <c r="C4" t="inlineStr">
        <is>
          <t>E001</t>
        </is>
      </c>
      <c r="D4" t="inlineStr">
        <is>
          <t>E002</t>
        </is>
      </c>
      <c r="E4" t="inlineStr">
        <is>
          <t>Interest on loan @12% p.a.</t>
        </is>
      </c>
      <c r="F4" s="20" t="n">
        <v>200</v>
      </c>
      <c r="G4" s="11" t="n">
        <v>0</v>
      </c>
      <c r="H4" s="20">
        <f>IF(B4="EPC_Revenue", F4*G4, 0)</f>
        <v/>
      </c>
      <c r="I4" t="inlineStr">
        <is>
          <t>Jan-2024</t>
        </is>
      </c>
      <c r="J4" t="inlineStr">
        <is>
          <t>Interest Income</t>
        </is>
      </c>
      <c r="K4" t="inlineStr">
        <is>
          <t>Finance Cost</t>
        </is>
      </c>
      <c r="L4" t="inlineStr">
        <is>
          <t>Pending</t>
        </is>
      </c>
      <c r="M4" t="inlineStr">
        <is>
          <t>To be eliminated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DDA0DD"/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  <col width="15" customWidth="1" min="5" max="5"/>
    <col width="15" customWidth="1" min="6" max="6"/>
    <col width="15" customWidth="1" min="7" max="7"/>
    <col width="18" customWidth="1" min="8" max="8"/>
    <col width="18" customWidth="1" min="9" max="9"/>
    <col width="18" customWidth="1" min="10" max="10"/>
  </cols>
  <sheetData>
    <row r="1">
      <c r="A1" s="33" t="inlineStr">
        <is>
          <t>FS_Line_Code</t>
        </is>
      </c>
      <c r="B1" s="33" t="inlineStr">
        <is>
          <t>FS_Line_Name</t>
        </is>
      </c>
      <c r="C1" s="33" t="inlineStr">
        <is>
          <t>Display_Order</t>
        </is>
      </c>
      <c r="D1" s="33" t="inlineStr">
        <is>
          <t>Indent_Level</t>
        </is>
      </c>
      <c r="E1" s="33" t="inlineStr">
        <is>
          <t>E001_Jan24</t>
        </is>
      </c>
      <c r="F1" s="33" t="inlineStr">
        <is>
          <t>E002_Jan24</t>
        </is>
      </c>
      <c r="G1" s="33" t="inlineStr">
        <is>
          <t>E003_Jan24</t>
        </is>
      </c>
      <c r="H1" s="33" t="inlineStr">
        <is>
          <t>Pre_Elim_Total_Jan24</t>
        </is>
      </c>
      <c r="I1" s="33" t="inlineStr">
        <is>
          <t>Eliminations_Jan24</t>
        </is>
      </c>
      <c r="J1" s="33" t="inlineStr">
        <is>
          <t>Post_Elim_Total_Jan24</t>
        </is>
      </c>
    </row>
    <row r="2">
      <c r="A2" s="15" t="inlineStr">
        <is>
          <t>BS_A_000</t>
        </is>
      </c>
      <c r="B2" s="15" t="inlineStr">
        <is>
          <t>TOTAL ASSETS</t>
        </is>
      </c>
      <c r="C2" s="15" t="n">
        <v>1000</v>
      </c>
      <c r="D2" t="n">
        <v>0</v>
      </c>
      <c r="E2" s="21">
        <f>E3+E12</f>
        <v/>
      </c>
      <c r="F2" s="21">
        <f>F3+F12</f>
        <v/>
      </c>
      <c r="G2" s="21">
        <f>G3+G12</f>
        <v/>
      </c>
      <c r="H2" s="21" t="n">
        <v>137500</v>
      </c>
      <c r="I2" s="21">
        <f>IFERROR(SUMIF(Eliminations!$B$1:$B$1000,A2,Eliminations!$E$1:$E$1000),0)-IFERROR(SUMIF(Eliminations!$C$1:$C$1000,A2,Eliminations!$E$1:$E$1000),0)</f>
        <v/>
      </c>
      <c r="J2" s="21" t="n">
        <v>137500</v>
      </c>
    </row>
    <row r="3">
      <c r="A3" t="inlineStr">
        <is>
          <t>BS_A_100</t>
        </is>
      </c>
      <c r="B3" t="inlineStr">
        <is>
          <t>Non-Current Assets</t>
        </is>
      </c>
      <c r="C3" t="n">
        <v>100</v>
      </c>
      <c r="D3" t="n">
        <v>1</v>
      </c>
      <c r="E3" s="20">
        <f>E4+E5+E6+E7+E8+E9+E10+E11</f>
        <v/>
      </c>
      <c r="F3" s="20">
        <f>F4+F5+F6+F7+F8+F9+F10+F11</f>
        <v/>
      </c>
      <c r="G3" s="20">
        <f>G4+G5+G6+G7+G8+G9+G10+G11</f>
        <v/>
      </c>
      <c r="H3" s="20" t="n">
        <v>119500</v>
      </c>
      <c r="I3" s="20">
        <f>IFERROR(SUMIF(Eliminations!$B$1:$B$1000,A3,Eliminations!$E$1:$E$1000),0)-IFERROR(SUMIF(Eliminations!$C$1:$C$1000,A3,Eliminations!$E$1:$E$1000),0)</f>
        <v/>
      </c>
      <c r="J3" s="20" t="n">
        <v>119500</v>
      </c>
    </row>
    <row r="4">
      <c r="A4" t="inlineStr">
        <is>
          <t>BS_A_110</t>
        </is>
      </c>
      <c r="B4" t="inlineStr">
        <is>
          <t>Property, Plant &amp; Equipment</t>
        </is>
      </c>
      <c r="C4" t="n">
        <v>110</v>
      </c>
      <c r="D4" t="n">
        <v>2</v>
      </c>
      <c r="E4" s="20">
        <f>SUMPRODUCT((LEFT(TB_Input!$A$5:$A$200,3)="110")*(TB_Input!$G$5:$G$200))</f>
        <v/>
      </c>
      <c r="F4" s="20">
        <f>SUMPRODUCT((LEFT(TB_Input!$A$5:$A$200,3)="110")*(TB_Input!$J$5:$J$200))</f>
        <v/>
      </c>
      <c r="G4" s="20">
        <f>SUMPRODUCT((LEFT(TB_Input!$A$5:$A$200,3)="110")*(TB_Input!$M$5:$M$200))</f>
        <v/>
      </c>
      <c r="H4" s="20" t="n">
        <v>77500</v>
      </c>
      <c r="I4" s="20">
        <f>IFERROR(SUMIF(Eliminations!$B$1:$B$1000,A4,Eliminations!$E$1:$E$1000),0)-IFERROR(SUMIF(Eliminations!$C$1:$C$1000,A4,Eliminations!$E$1:$E$1000),0)</f>
        <v/>
      </c>
      <c r="J4" s="20" t="n">
        <v>77500</v>
      </c>
    </row>
    <row r="5">
      <c r="A5" t="inlineStr">
        <is>
          <t>BS_A_120</t>
        </is>
      </c>
      <c r="B5" t="inlineStr">
        <is>
          <t>Capital Work-in-Progress</t>
        </is>
      </c>
      <c r="C5" t="n">
        <v>120</v>
      </c>
      <c r="D5" t="n">
        <v>2</v>
      </c>
      <c r="E5" s="20">
        <f>SUMPRODUCT((LEFT(TB_Input!$A$5:$A$200,3)="111")*(TB_Input!$G$5:$G$200))</f>
        <v/>
      </c>
      <c r="F5" s="20">
        <f>SUMPRODUCT((LEFT(TB_Input!$A$5:$A$200,3)="111")*(TB_Input!$J$5:$J$200))</f>
        <v/>
      </c>
      <c r="G5" s="20">
        <f>SUMPRODUCT((LEFT(TB_Input!$A$5:$A$200,3)="111")*(TB_Input!$M$5:$M$200))</f>
        <v/>
      </c>
      <c r="H5" s="20" t="n">
        <v>42000</v>
      </c>
      <c r="I5" s="20">
        <f>IFERROR(SUMIF(Eliminations!$B$1:$B$1000,A5,Eliminations!$E$1:$E$1000),0)-IFERROR(SUMIF(Eliminations!$C$1:$C$1000,A5,Eliminations!$E$1:$E$1000),0)</f>
        <v/>
      </c>
      <c r="J5" s="20" t="n">
        <v>42000</v>
      </c>
    </row>
    <row r="6">
      <c r="A6" t="inlineStr">
        <is>
          <t>BS_A_130</t>
        </is>
      </c>
      <c r="B6" t="inlineStr">
        <is>
          <t>Right-of-use Assets</t>
        </is>
      </c>
      <c r="C6" t="n">
        <v>130</v>
      </c>
      <c r="D6" t="n">
        <v>2</v>
      </c>
      <c r="E6" s="20">
        <f>SUMPRODUCT((LEFT(TB_Input!$A$5:$A$200,3)="112")*(TB_Input!$G$5:$G$200))</f>
        <v/>
      </c>
      <c r="F6" s="20">
        <f>SUMPRODUCT((LEFT(TB_Input!$A$5:$A$200,3)="112")*(TB_Input!$J$5:$J$200))</f>
        <v/>
      </c>
      <c r="G6" s="20">
        <f>SUMPRODUCT((LEFT(TB_Input!$A$5:$A$200,3)="112")*(TB_Input!$M$5:$M$200))</f>
        <v/>
      </c>
      <c r="H6" s="20" t="n">
        <v>0</v>
      </c>
      <c r="I6" s="20">
        <f>IFERROR(SUMIF(Eliminations!$B$1:$B$1000,A6,Eliminations!$E$1:$E$1000),0)-IFERROR(SUMIF(Eliminations!$C$1:$C$1000,A6,Eliminations!$E$1:$E$1000),0)</f>
        <v/>
      </c>
      <c r="J6" s="20" t="n">
        <v>0</v>
      </c>
    </row>
    <row r="7">
      <c r="A7" t="inlineStr">
        <is>
          <t>BS_A_140</t>
        </is>
      </c>
      <c r="B7" t="inlineStr">
        <is>
          <t>Intangible Assets</t>
        </is>
      </c>
      <c r="C7" t="n">
        <v>140</v>
      </c>
      <c r="D7" t="n">
        <v>2</v>
      </c>
      <c r="E7" s="20">
        <f>SUMPRODUCT((LEFT(TB_Input!$A$5:$A$200,3)="113")*(TB_Input!$G$5:$G$200))</f>
        <v/>
      </c>
      <c r="F7" s="20">
        <f>SUMPRODUCT((LEFT(TB_Input!$A$5:$A$200,3)="113")*(TB_Input!$J$5:$J$200))</f>
        <v/>
      </c>
      <c r="G7" s="20">
        <f>SUMPRODUCT((LEFT(TB_Input!$A$5:$A$200,3)="113")*(TB_Input!$M$5:$M$200))</f>
        <v/>
      </c>
      <c r="H7" s="20" t="n">
        <v>0</v>
      </c>
      <c r="I7" s="20">
        <f>IFERROR(SUMIF(Eliminations!$B$1:$B$1000,A7,Eliminations!$E$1:$E$1000),0)-IFERROR(SUMIF(Eliminations!$C$1:$C$1000,A7,Eliminations!$E$1:$E$1000),0)</f>
        <v/>
      </c>
      <c r="J7" s="20" t="n">
        <v>0</v>
      </c>
    </row>
    <row r="8">
      <c r="A8" t="inlineStr">
        <is>
          <t>BS_A_150</t>
        </is>
      </c>
      <c r="B8" t="inlineStr">
        <is>
          <t>Financial Assets (Non-Current)</t>
        </is>
      </c>
      <c r="C8" t="n">
        <v>150</v>
      </c>
      <c r="D8" t="n">
        <v>2</v>
      </c>
      <c r="E8" s="20">
        <f>E9+E10+E11</f>
        <v/>
      </c>
      <c r="F8" s="20">
        <f>F9+F10+F11</f>
        <v/>
      </c>
      <c r="G8" s="20">
        <f>G9+G10+G11</f>
        <v/>
      </c>
      <c r="H8" s="20" t="n">
        <v>0</v>
      </c>
      <c r="I8" s="20">
        <f>IFERROR(SUMIF(Eliminations!$B$1:$B$1000,A8,Eliminations!$E$1:$E$1000),0)-IFERROR(SUMIF(Eliminations!$C$1:$C$1000,A8,Eliminations!$E$1:$E$1000),0)</f>
        <v/>
      </c>
      <c r="J8" s="20" t="n">
        <v>0</v>
      </c>
    </row>
    <row r="9">
      <c r="A9" t="inlineStr">
        <is>
          <t>BS_A_151</t>
        </is>
      </c>
      <c r="B9" t="inlineStr">
        <is>
          <t>- Investments in JV/Associates</t>
        </is>
      </c>
      <c r="C9" t="n">
        <v>151</v>
      </c>
      <c r="D9" t="n">
        <v>3</v>
      </c>
      <c r="E9" s="20">
        <f>SUMPRODUCT((LEFT(TB_Input!$A$5:$A$200,3)="120")*(TB_Input!$G$5:$G$200))</f>
        <v/>
      </c>
      <c r="F9" s="20">
        <f>SUMPRODUCT((LEFT(TB_Input!$A$5:$A$200,3)="120")*(TB_Input!$J$5:$J$200))</f>
        <v/>
      </c>
      <c r="G9" s="20">
        <f>SUMPRODUCT((LEFT(TB_Input!$A$5:$A$200,3)="120")*(TB_Input!$M$5:$M$200))</f>
        <v/>
      </c>
      <c r="H9" s="20" t="n">
        <v>0</v>
      </c>
      <c r="I9" s="20">
        <f>IFERROR(SUMIF(Eliminations!$B$1:$B$1000,A9,Eliminations!$E$1:$E$1000),0)-IFERROR(SUMIF(Eliminations!$C$1:$C$1000,A9,Eliminations!$E$1:$E$1000),0)</f>
        <v/>
      </c>
      <c r="J9" s="20" t="n">
        <v>0</v>
      </c>
    </row>
    <row r="10">
      <c r="A10" t="inlineStr">
        <is>
          <t>BS_A_152</t>
        </is>
      </c>
      <c r="B10" t="inlineStr">
        <is>
          <t>- Other Investments</t>
        </is>
      </c>
      <c r="C10" t="n">
        <v>152</v>
      </c>
      <c r="D10" t="n">
        <v>3</v>
      </c>
      <c r="E10" s="20">
        <f>SUMPRODUCT((LEFT(TB_Input!$A$5:$A$200,3)="121")*(TB_Input!$G$5:$G$200))</f>
        <v/>
      </c>
      <c r="F10" s="20">
        <f>SUMPRODUCT((LEFT(TB_Input!$A$5:$A$200,3)="121")*(TB_Input!$J$5:$J$200))</f>
        <v/>
      </c>
      <c r="G10" s="20">
        <f>SUMPRODUCT((LEFT(TB_Input!$A$5:$A$200,3)="121")*(TB_Input!$M$5:$M$200))</f>
        <v/>
      </c>
      <c r="H10" s="20" t="n">
        <v>0</v>
      </c>
      <c r="I10" s="20">
        <f>IFERROR(SUMIF(Eliminations!$B$1:$B$1000,A10,Eliminations!$E$1:$E$1000),0)-IFERROR(SUMIF(Eliminations!$C$1:$C$1000,A10,Eliminations!$E$1:$E$1000),0)</f>
        <v/>
      </c>
      <c r="J10" s="20" t="n">
        <v>0</v>
      </c>
    </row>
    <row r="11">
      <c r="A11" t="inlineStr">
        <is>
          <t>BS_A_153</t>
        </is>
      </c>
      <c r="B11" t="inlineStr">
        <is>
          <t>- Loans (Non-Current)</t>
        </is>
      </c>
      <c r="C11" t="n">
        <v>153</v>
      </c>
      <c r="D11" t="n">
        <v>3</v>
      </c>
      <c r="E11" s="20">
        <f>SUMPRODUCT((LEFT(TB_Input!$A$5:$A$200,3)="122")*(TB_Input!$G$5:$G$200))</f>
        <v/>
      </c>
      <c r="F11" s="20">
        <f>SUMPRODUCT((LEFT(TB_Input!$A$5:$A$200,3)="122")*(TB_Input!$J$5:$J$200))</f>
        <v/>
      </c>
      <c r="G11" s="20">
        <f>SUMPRODUCT((LEFT(TB_Input!$A$5:$A$200,3)="122")*(TB_Input!$M$5:$M$200))</f>
        <v/>
      </c>
      <c r="H11" s="20" t="n">
        <v>20000</v>
      </c>
      <c r="I11" s="20">
        <f>IFERROR(SUMIF(Eliminations!$B$1:$B$1000,A11,Eliminations!$E$1:$E$1000),0)-IFERROR(SUMIF(Eliminations!$C$1:$C$1000,A11,Eliminations!$E$1:$E$1000),0)</f>
        <v/>
      </c>
      <c r="J11" s="20" t="n">
        <v>20000</v>
      </c>
    </row>
    <row r="12">
      <c r="A12" t="inlineStr">
        <is>
          <t>BS_A_200</t>
        </is>
      </c>
      <c r="B12" t="inlineStr">
        <is>
          <t>Current Assets</t>
        </is>
      </c>
      <c r="C12" t="n">
        <v>200</v>
      </c>
      <c r="D12" t="n">
        <v>1</v>
      </c>
      <c r="E12" s="20">
        <f>E13+E14+E15+E16</f>
        <v/>
      </c>
      <c r="F12" s="20">
        <f>F13+F14+F15+F16</f>
        <v/>
      </c>
      <c r="G12" s="20">
        <f>G13+G14+G15+G16</f>
        <v/>
      </c>
      <c r="H12" s="20" t="n">
        <v>18000</v>
      </c>
      <c r="I12" s="20">
        <f>IFERROR(SUMIF(Eliminations!$B$1:$B$1000,A12,Eliminations!$E$1:$E$1000),0)-IFERROR(SUMIF(Eliminations!$C$1:$C$1000,A12,Eliminations!$E$1:$E$1000),0)</f>
        <v/>
      </c>
      <c r="J12" s="20" t="n">
        <v>18000</v>
      </c>
    </row>
    <row r="13">
      <c r="A13" t="inlineStr">
        <is>
          <t>BS_A_210</t>
        </is>
      </c>
      <c r="B13" t="inlineStr">
        <is>
          <t>Inventories</t>
        </is>
      </c>
      <c r="C13" t="n">
        <v>210</v>
      </c>
      <c r="D13" t="n">
        <v>2</v>
      </c>
      <c r="E13" s="20">
        <f>SUMPRODUCT((LEFT(TB_Input!$A$5:$A$200,3)="130")*(TB_Input!$G$5:$G$200))</f>
        <v/>
      </c>
      <c r="F13" s="20">
        <f>SUMPRODUCT((LEFT(TB_Input!$A$5:$A$200,3)="130")*(TB_Input!$J$5:$J$200))</f>
        <v/>
      </c>
      <c r="G13" s="20">
        <f>SUMPRODUCT((LEFT(TB_Input!$A$5:$A$200,3)="130")*(TB_Input!$M$5:$M$200))</f>
        <v/>
      </c>
      <c r="H13" s="20" t="n">
        <v>0</v>
      </c>
      <c r="I13" s="20">
        <f>IFERROR(SUMIF(Eliminations!$B$1:$B$1000,A13,Eliminations!$E$1:$E$1000),0)-IFERROR(SUMIF(Eliminations!$C$1:$C$1000,A13,Eliminations!$E$1:$E$1000),0)</f>
        <v/>
      </c>
      <c r="J13" s="20" t="n">
        <v>0</v>
      </c>
    </row>
    <row r="14">
      <c r="A14" t="inlineStr">
        <is>
          <t>BS_A_220</t>
        </is>
      </c>
      <c r="B14" t="inlineStr">
        <is>
          <t>Financial Assets (Current)</t>
        </is>
      </c>
      <c r="C14" t="n">
        <v>220</v>
      </c>
      <c r="D14" t="n">
        <v>2</v>
      </c>
      <c r="E14" s="20">
        <f>E15+E16</f>
        <v/>
      </c>
      <c r="F14" s="20">
        <f>F15+F16</f>
        <v/>
      </c>
      <c r="G14" s="20">
        <f>G15+G16</f>
        <v/>
      </c>
      <c r="H14" s="20" t="n">
        <v>18000</v>
      </c>
      <c r="I14" s="20">
        <f>IFERROR(SUMIF(Eliminations!$B$1:$B$1000,A14,Eliminations!$E$1:$E$1000),0)-IFERROR(SUMIF(Eliminations!$C$1:$C$1000,A14,Eliminations!$E$1:$E$1000),0)</f>
        <v/>
      </c>
      <c r="J14" s="20" t="n">
        <v>18000</v>
      </c>
    </row>
    <row r="15">
      <c r="A15" t="inlineStr">
        <is>
          <t>BS_A_221</t>
        </is>
      </c>
      <c r="B15" t="inlineStr">
        <is>
          <t>- Trade Receivables</t>
        </is>
      </c>
      <c r="C15" t="n">
        <v>221</v>
      </c>
      <c r="D15" t="n">
        <v>3</v>
      </c>
      <c r="E15" s="20">
        <f>SUMPRODUCT((LEFT(TB_Input!$A$5:$A$200,3)="140")*(TB_Input!$G$5:$G$200))</f>
        <v/>
      </c>
      <c r="F15" s="20">
        <f>SUMPRODUCT((LEFT(TB_Input!$A$5:$A$200,3)="140")*(TB_Input!$J$5:$J$200))</f>
        <v/>
      </c>
      <c r="G15" s="20">
        <f>SUMPRODUCT((LEFT(TB_Input!$A$5:$A$200,3)="140")*(TB_Input!$M$5:$M$200))</f>
        <v/>
      </c>
      <c r="H15" s="20" t="n">
        <v>0</v>
      </c>
      <c r="I15" s="20">
        <f>IFERROR(SUMIF(Eliminations!$B$1:$B$1000,A15,Eliminations!$E$1:$E$1000),0)-IFERROR(SUMIF(Eliminations!$C$1:$C$1000,A15,Eliminations!$E$1:$E$1000),0)</f>
        <v/>
      </c>
      <c r="J15" s="20" t="n">
        <v>0</v>
      </c>
    </row>
    <row r="16">
      <c r="A16" t="inlineStr">
        <is>
          <t>BS_A_222</t>
        </is>
      </c>
      <c r="B16" t="inlineStr">
        <is>
          <t>- Cash and Cash Equivalents</t>
        </is>
      </c>
      <c r="C16" t="n">
        <v>222</v>
      </c>
      <c r="D16" t="n">
        <v>3</v>
      </c>
      <c r="E16" s="20">
        <f>SUMPRODUCT((LEFT(TB_Input!$A$5:$A$200,3)="142")*(TB_Input!$G$5:$G$200))</f>
        <v/>
      </c>
      <c r="F16" s="20">
        <f>SUMPRODUCT((LEFT(TB_Input!$A$5:$A$200,3)="142")*(TB_Input!$J$5:$J$200))</f>
        <v/>
      </c>
      <c r="G16" s="20">
        <f>SUMPRODUCT((LEFT(TB_Input!$A$5:$A$200,3)="142")*(TB_Input!$M$5:$M$200))</f>
        <v/>
      </c>
      <c r="H16" s="20" t="n">
        <v>0</v>
      </c>
      <c r="I16" s="20">
        <f>IFERROR(SUMIF(Eliminations!$B$1:$B$1000,A16,Eliminations!$E$1:$E$1000),0)-IFERROR(SUMIF(Eliminations!$C$1:$C$1000,A16,Eliminations!$E$1:$E$1000),0)</f>
        <v/>
      </c>
      <c r="J16" s="20" t="n">
        <v>0</v>
      </c>
    </row>
    <row r="17">
      <c r="A17" s="15" t="inlineStr">
        <is>
          <t>BS_E_000</t>
        </is>
      </c>
      <c r="B17" s="15" t="inlineStr">
        <is>
          <t>TOTAL EQUITY &amp; LIABILITIES</t>
        </is>
      </c>
      <c r="C17" s="15" t="n">
        <v>2000</v>
      </c>
      <c r="D17" t="n">
        <v>0</v>
      </c>
      <c r="E17" s="21">
        <f>E18+E22+E25</f>
        <v/>
      </c>
      <c r="F17" s="21">
        <f>F18+F22+F25</f>
        <v/>
      </c>
      <c r="G17" s="21">
        <f>G18+G22+G25</f>
        <v/>
      </c>
      <c r="H17" s="21" t="n">
        <v>45000</v>
      </c>
      <c r="I17" s="21">
        <f>IFERROR(SUMIF(Eliminations!$B$1:$B$1000,A17,Eliminations!$E$1:$E$1000),0)-IFERROR(SUMIF(Eliminations!$C$1:$C$1000,A17,Eliminations!$E$1:$E$1000),0)</f>
        <v/>
      </c>
      <c r="J17" s="21" t="n">
        <v>45000</v>
      </c>
    </row>
    <row r="18">
      <c r="A18" t="inlineStr">
        <is>
          <t>BS_E_100</t>
        </is>
      </c>
      <c r="B18" t="inlineStr">
        <is>
          <t>Equity</t>
        </is>
      </c>
      <c r="C18" t="n">
        <v>2100</v>
      </c>
      <c r="D18" t="n">
        <v>1</v>
      </c>
      <c r="E18" s="20">
        <f>E19+E20+E21</f>
        <v/>
      </c>
      <c r="F18" s="20">
        <f>F19+F20+F21</f>
        <v/>
      </c>
      <c r="G18" s="20">
        <f>G19+G20+G21</f>
        <v/>
      </c>
      <c r="H18" s="20" t="n">
        <v>3000</v>
      </c>
      <c r="I18" s="20">
        <f>IFERROR(SUMIF(Eliminations!$B$1:$B$1000,A18,Eliminations!$E$1:$E$1000),0)-IFERROR(SUMIF(Eliminations!$C$1:$C$1000,A18,Eliminations!$E$1:$E$1000),0)</f>
        <v/>
      </c>
      <c r="J18" s="20" t="n">
        <v>3000</v>
      </c>
    </row>
    <row r="19">
      <c r="A19" t="inlineStr">
        <is>
          <t>BS_E_110</t>
        </is>
      </c>
      <c r="B19" t="inlineStr">
        <is>
          <t>Equity Share Capital</t>
        </is>
      </c>
      <c r="C19" t="n">
        <v>2110</v>
      </c>
      <c r="D19" t="n">
        <v>2</v>
      </c>
      <c r="E19" s="20">
        <f>SUMPRODUCT((LEFT(TB_Input!$A$5:$A$200,3)="200")*(TB_Input!$G$5:$G$200))</f>
        <v/>
      </c>
      <c r="F19" s="20">
        <f>SUMPRODUCT((LEFT(TB_Input!$A$5:$A$200,3)="200")*(TB_Input!$J$5:$J$200))</f>
        <v/>
      </c>
      <c r="G19" s="20">
        <f>SUMPRODUCT((LEFT(TB_Input!$A$5:$A$200,3)="200")*(TB_Input!$M$5:$M$200))</f>
        <v/>
      </c>
      <c r="H19" s="20" t="n">
        <v>0</v>
      </c>
      <c r="I19" s="20">
        <f>IFERROR(SUMIF(Eliminations!$B$1:$B$1000,A19,Eliminations!$E$1:$E$1000),0)-IFERROR(SUMIF(Eliminations!$C$1:$C$1000,A19,Eliminations!$E$1:$E$1000),0)</f>
        <v/>
      </c>
      <c r="J19" s="20" t="n">
        <v>0</v>
      </c>
    </row>
    <row r="20">
      <c r="A20" t="inlineStr">
        <is>
          <t>BS_E_120</t>
        </is>
      </c>
      <c r="B20" t="inlineStr">
        <is>
          <t>Other Equity</t>
        </is>
      </c>
      <c r="C20" t="n">
        <v>2120</v>
      </c>
      <c r="D20" t="n">
        <v>2</v>
      </c>
      <c r="E20" s="20">
        <f>SUMPRODUCT((LEFT(TB_Input!$A$5:$A$200,3)="210")*(TB_Input!$G$5:$G$200))</f>
        <v/>
      </c>
      <c r="F20" s="20">
        <f>SUMPRODUCT((LEFT(TB_Input!$A$5:$A$200,3)="210")*(TB_Input!$J$5:$J$200))</f>
        <v/>
      </c>
      <c r="G20" s="20">
        <f>SUMPRODUCT((LEFT(TB_Input!$A$5:$A$200,3)="210")*(TB_Input!$M$5:$M$200))</f>
        <v/>
      </c>
      <c r="H20" s="20" t="n">
        <v>0</v>
      </c>
      <c r="I20" s="20">
        <f>IFERROR(SUMIF(Eliminations!$B$1:$B$1000,A20,Eliminations!$E$1:$E$1000),0)-IFERROR(SUMIF(Eliminations!$C$1:$C$1000,A20,Eliminations!$E$1:$E$1000),0)</f>
        <v/>
      </c>
      <c r="J20" s="20" t="n">
        <v>0</v>
      </c>
    </row>
    <row r="21">
      <c r="A21" t="inlineStr">
        <is>
          <t>BS_E_130</t>
        </is>
      </c>
      <c r="B21" t="inlineStr">
        <is>
          <t>Non-Controlling Interests</t>
        </is>
      </c>
      <c r="C21" t="n">
        <v>2130</v>
      </c>
      <c r="D21" t="n">
        <v>2</v>
      </c>
      <c r="E21" s="20">
        <f>SUMPRODUCT((LEFT(TB_Input!$A$5:$A$200,3)="220")*(TB_Input!$G$5:$G$200))</f>
        <v/>
      </c>
      <c r="F21" s="20">
        <f>SUMPRODUCT((LEFT(TB_Input!$A$5:$A$200,3)="220")*(TB_Input!$J$5:$J$200))</f>
        <v/>
      </c>
      <c r="G21" s="20">
        <f>SUMPRODUCT((LEFT(TB_Input!$A$5:$A$200,3)="220")*(TB_Input!$M$5:$M$200))</f>
        <v/>
      </c>
      <c r="H21" s="20" t="n">
        <v>45000</v>
      </c>
      <c r="I21" s="20">
        <f>IFERROR(SUMIF(Eliminations!$B$1:$B$1000,A21,Eliminations!$E$1:$E$1000),0)-IFERROR(SUMIF(Eliminations!$C$1:$C$1000,A21,Eliminations!$E$1:$E$1000),0)</f>
        <v/>
      </c>
      <c r="J21" s="20" t="n">
        <v>45000</v>
      </c>
    </row>
    <row r="22">
      <c r="A22" t="inlineStr">
        <is>
          <t>BS_L_100</t>
        </is>
      </c>
      <c r="B22" t="inlineStr">
        <is>
          <t>Non-Current Liabilities</t>
        </is>
      </c>
      <c r="C22" t="n">
        <v>2200</v>
      </c>
      <c r="D22" t="n">
        <v>1</v>
      </c>
      <c r="E22" s="20">
        <f>E23+E24</f>
        <v/>
      </c>
      <c r="F22" s="20">
        <f>F23+F24</f>
        <v/>
      </c>
      <c r="G22" s="20">
        <f>G23+G24</f>
        <v/>
      </c>
      <c r="H22" s="20" t="n">
        <v>0</v>
      </c>
      <c r="I22" s="20">
        <f>IFERROR(SUMIF(Eliminations!$B$1:$B$1000,A22,Eliminations!$E$1:$E$1000),0)-IFERROR(SUMIF(Eliminations!$C$1:$C$1000,A22,Eliminations!$E$1:$E$1000),0)</f>
        <v/>
      </c>
      <c r="J22" s="20" t="n">
        <v>0</v>
      </c>
    </row>
    <row r="23">
      <c r="A23" t="inlineStr">
        <is>
          <t>BS_L_110</t>
        </is>
      </c>
      <c r="B23" t="inlineStr">
        <is>
          <t>Financial Liabilities (NC)</t>
        </is>
      </c>
      <c r="C23" t="n">
        <v>2210</v>
      </c>
      <c r="D23" t="n">
        <v>2</v>
      </c>
      <c r="E23" s="20">
        <f>E24</f>
        <v/>
      </c>
      <c r="F23" s="20">
        <f>F24</f>
        <v/>
      </c>
      <c r="G23" s="20">
        <f>G24</f>
        <v/>
      </c>
      <c r="H23" s="20" t="n">
        <v>0</v>
      </c>
      <c r="I23" s="20">
        <f>IFERROR(SUMIF(Eliminations!$B$1:$B$1000,A23,Eliminations!$E$1:$E$1000),0)-IFERROR(SUMIF(Eliminations!$C$1:$C$1000,A23,Eliminations!$E$1:$E$1000),0)</f>
        <v/>
      </c>
      <c r="J23" s="20" t="n">
        <v>0</v>
      </c>
    </row>
    <row r="24">
      <c r="A24" t="inlineStr">
        <is>
          <t>BS_L_111</t>
        </is>
      </c>
      <c r="B24" t="inlineStr">
        <is>
          <t>- Borrowings (Non-Current)</t>
        </is>
      </c>
      <c r="C24" t="n">
        <v>2211</v>
      </c>
      <c r="D24" t="n">
        <v>3</v>
      </c>
      <c r="E24" s="20">
        <f>SUMPRODUCT((LEFT(TB_Input!$A$5:$A$200,3)="300")*(TB_Input!$G$5:$G$200))</f>
        <v/>
      </c>
      <c r="F24" s="20">
        <f>SUMPRODUCT((LEFT(TB_Input!$A$5:$A$200,3)="300")*(TB_Input!$J$5:$J$200))</f>
        <v/>
      </c>
      <c r="G24" s="20">
        <f>SUMPRODUCT((LEFT(TB_Input!$A$5:$A$200,3)="300")*(TB_Input!$M$5:$M$200))</f>
        <v/>
      </c>
      <c r="H24" s="20" t="n">
        <v>7500</v>
      </c>
      <c r="I24" s="20">
        <f>IFERROR(SUMIF(Eliminations!$B$1:$B$1000,A24,Eliminations!$E$1:$E$1000),0)-IFERROR(SUMIF(Eliminations!$C$1:$C$1000,A24,Eliminations!$E$1:$E$1000),0)</f>
        <v/>
      </c>
      <c r="J24" s="20" t="n">
        <v>7500</v>
      </c>
    </row>
    <row r="25">
      <c r="A25" t="inlineStr">
        <is>
          <t>BS_L_200</t>
        </is>
      </c>
      <c r="B25" t="inlineStr">
        <is>
          <t>Current Liabilities</t>
        </is>
      </c>
      <c r="C25" t="n">
        <v>2300</v>
      </c>
      <c r="D25" t="n">
        <v>1</v>
      </c>
      <c r="E25" s="20">
        <f>E26+E27</f>
        <v/>
      </c>
      <c r="F25" s="20">
        <f>F26+F27</f>
        <v/>
      </c>
      <c r="G25" s="20">
        <f>G26+G27</f>
        <v/>
      </c>
      <c r="H25" s="20" t="n">
        <v>0</v>
      </c>
      <c r="I25" s="20">
        <f>IFERROR(SUMIF(Eliminations!$B$1:$B$1000,A25,Eliminations!$E$1:$E$1000),0)-IFERROR(SUMIF(Eliminations!$C$1:$C$1000,A25,Eliminations!$E$1:$E$1000),0)</f>
        <v/>
      </c>
      <c r="J25" s="20" t="n">
        <v>0</v>
      </c>
    </row>
    <row r="26">
      <c r="A26" t="inlineStr">
        <is>
          <t>BS_L_210</t>
        </is>
      </c>
      <c r="B26" t="inlineStr">
        <is>
          <t>Financial Liabilities (Current)</t>
        </is>
      </c>
      <c r="C26" t="n">
        <v>2310</v>
      </c>
      <c r="D26" t="n">
        <v>2</v>
      </c>
      <c r="E26" s="20">
        <f>E27+E28</f>
        <v/>
      </c>
      <c r="F26" s="20">
        <f>F27+F28</f>
        <v/>
      </c>
      <c r="G26" s="20">
        <f>G27+G28</f>
        <v/>
      </c>
      <c r="H26" s="20" t="n">
        <v>0</v>
      </c>
      <c r="I26" s="20">
        <f>IFERROR(SUMIF(Eliminations!$B$1:$B$1000,A26,Eliminations!$E$1:$E$1000),0)-IFERROR(SUMIF(Eliminations!$C$1:$C$1000,A26,Eliminations!$E$1:$E$1000),0)</f>
        <v/>
      </c>
      <c r="J26" s="20" t="n">
        <v>0</v>
      </c>
    </row>
    <row r="27">
      <c r="A27" t="inlineStr">
        <is>
          <t>BS_L_211</t>
        </is>
      </c>
      <c r="B27" t="inlineStr">
        <is>
          <t>- Borrowings (Current)</t>
        </is>
      </c>
      <c r="C27" t="n">
        <v>2311</v>
      </c>
      <c r="D27" t="n">
        <v>3</v>
      </c>
      <c r="E27" s="20">
        <f>SUMPRODUCT((LEFT(TB_Input!$A$5:$A$200,3)="310")*(TB_Input!$G$5:$G$200))</f>
        <v/>
      </c>
      <c r="F27" s="20">
        <f>SUMPRODUCT((LEFT(TB_Input!$A$5:$A$200,3)="310")*(TB_Input!$J$5:$J$200))</f>
        <v/>
      </c>
      <c r="G27" s="20">
        <f>SUMPRODUCT((LEFT(TB_Input!$A$5:$A$200,3)="310")*(TB_Input!$M$5:$M$200))</f>
        <v/>
      </c>
      <c r="H27" s="20" t="n">
        <v>0</v>
      </c>
      <c r="I27" s="20">
        <f>IFERROR(SUMIF(Eliminations!$B$1:$B$1000,A27,Eliminations!$E$1:$E$1000),0)-IFERROR(SUMIF(Eliminations!$C$1:$C$1000,A27,Eliminations!$E$1:$E$1000),0)</f>
        <v/>
      </c>
      <c r="J27" s="20" t="n">
        <v>0</v>
      </c>
    </row>
    <row r="28">
      <c r="A28" t="inlineStr">
        <is>
          <t>BS_L_213</t>
        </is>
      </c>
      <c r="B28" t="inlineStr">
        <is>
          <t>- Trade Payables</t>
        </is>
      </c>
      <c r="C28" t="n">
        <v>2313</v>
      </c>
      <c r="D28" t="n">
        <v>3</v>
      </c>
      <c r="E28" s="20">
        <f>SUMPRODUCT((LEFT(TB_Input!$A$5:$A$200,3)="320")*(TB_Input!$G$5:$G$200))</f>
        <v/>
      </c>
      <c r="F28" s="20">
        <f>SUMPRODUCT((LEFT(TB_Input!$A$5:$A$200,3)="320")*(TB_Input!$J$5:$J$200))</f>
        <v/>
      </c>
      <c r="G28" s="20">
        <f>SUMPRODUCT((LEFT(TB_Input!$A$5:$A$200,3)="320")*(TB_Input!$M$5:$M$200))</f>
        <v/>
      </c>
      <c r="H28" s="20" t="n">
        <v>0</v>
      </c>
      <c r="I28" s="20">
        <f>IFERROR(SUMIF(Eliminations!$B$1:$B$1000,A28,Eliminations!$E$1:$E$1000),0)-IFERROR(SUMIF(Eliminations!$C$1:$C$1000,A28,Eliminations!$E$1:$E$1000),0)</f>
        <v/>
      </c>
      <c r="J28" s="20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DDA0DD"/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  <col width="15" customWidth="1" min="5" max="5"/>
    <col width="15" customWidth="1" min="6" max="6"/>
    <col width="15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</cols>
  <sheetData>
    <row r="1">
      <c r="A1" s="33" t="inlineStr">
        <is>
          <t>FS_Line_Code</t>
        </is>
      </c>
      <c r="B1" s="33" t="inlineStr">
        <is>
          <t>FS_Line_Name</t>
        </is>
      </c>
      <c r="C1" s="33" t="inlineStr">
        <is>
          <t>Display_Order</t>
        </is>
      </c>
      <c r="D1" s="33" t="inlineStr">
        <is>
          <t>Indent_Level</t>
        </is>
      </c>
      <c r="E1" s="33" t="inlineStr">
        <is>
          <t>E001_Jan24</t>
        </is>
      </c>
      <c r="F1" s="33" t="inlineStr">
        <is>
          <t>E002_Jan24</t>
        </is>
      </c>
      <c r="G1" s="33" t="inlineStr">
        <is>
          <t>E003_Jan24</t>
        </is>
      </c>
      <c r="H1" s="33" t="inlineStr">
        <is>
          <t>Pre_Elim_Total_Jan24</t>
        </is>
      </c>
      <c r="I1" s="33" t="inlineStr">
        <is>
          <t>Eliminations_Jan24</t>
        </is>
      </c>
      <c r="J1" s="33" t="inlineStr">
        <is>
          <t>Post_Elim_Total_Jan24</t>
        </is>
      </c>
      <c r="K1" s="33" t="inlineStr">
        <is>
          <t>NCI_Share_Jan24</t>
        </is>
      </c>
      <c r="L1" s="33" t="inlineStr">
        <is>
          <t>Owners_Share_Jan24</t>
        </is>
      </c>
    </row>
    <row r="2">
      <c r="A2" s="15" t="inlineStr">
        <is>
          <t>PL_I_000</t>
        </is>
      </c>
      <c r="B2" s="15" t="inlineStr">
        <is>
          <t>TOTAL INCOME</t>
        </is>
      </c>
      <c r="C2" s="15" t="n">
        <v>1000</v>
      </c>
      <c r="D2" t="n">
        <v>0</v>
      </c>
      <c r="E2" s="21">
        <f>E3+E9</f>
        <v/>
      </c>
      <c r="F2" s="21">
        <f>F3+F9</f>
        <v/>
      </c>
      <c r="G2" s="21">
        <f>G3+G9</f>
        <v/>
      </c>
      <c r="H2" s="21" t="n">
        <v>45000</v>
      </c>
      <c r="I2" s="21">
        <f>IFERROR(SUMIF(Eliminations!$B$1:$B$1000,A2,Eliminations!$E$1:$E$1000),0)-IFERROR(SUMIF(Eliminations!$C$1:$C$1000,A2,Eliminations!$E$1:$E$1000),0)</f>
        <v/>
      </c>
      <c r="J2" s="21" t="n">
        <v>45000</v>
      </c>
      <c r="K2" s="20" t="n">
        <v>0</v>
      </c>
      <c r="L2" s="21">
        <f>J2-K2</f>
        <v/>
      </c>
    </row>
    <row r="3">
      <c r="A3" t="inlineStr">
        <is>
          <t>PL_I_100</t>
        </is>
      </c>
      <c r="B3" t="inlineStr">
        <is>
          <t>Revenue from Operations</t>
        </is>
      </c>
      <c r="C3" t="n">
        <v>100</v>
      </c>
      <c r="D3" t="n">
        <v>1</v>
      </c>
      <c r="E3" s="20">
        <f>E4+E5+E6+E7+E8</f>
        <v/>
      </c>
      <c r="F3" s="20">
        <f>F4+F5+F6+F7+F8</f>
        <v/>
      </c>
      <c r="G3" s="20">
        <f>G4+G5+G6+G7+G8</f>
        <v/>
      </c>
      <c r="H3" s="20" t="n">
        <v>45000</v>
      </c>
      <c r="I3" s="20">
        <f>IFERROR(SUMIF(Eliminations!$B$1:$B$1000,A3,Eliminations!$E$1:$E$1000),0)-IFERROR(SUMIF(Eliminations!$C$1:$C$1000,A3,Eliminations!$E$1:$E$1000),0)</f>
        <v/>
      </c>
      <c r="J3" s="20" t="n">
        <v>45000</v>
      </c>
      <c r="K3" s="20" t="n">
        <v>0</v>
      </c>
      <c r="L3" s="20">
        <f>J3-K3</f>
        <v/>
      </c>
    </row>
    <row r="4">
      <c r="A4" t="inlineStr">
        <is>
          <t>PL_I_110</t>
        </is>
      </c>
      <c r="B4" t="inlineStr">
        <is>
          <t>Sale of Power - Solar</t>
        </is>
      </c>
      <c r="C4" t="n">
        <v>110</v>
      </c>
      <c r="D4" t="n">
        <v>2</v>
      </c>
      <c r="E4" s="20">
        <f>SUMPRODUCT((LEFT(TB_Input!$A$5:$A$200,3)="500")*(TB_Input!$G$5:$G$200))</f>
        <v/>
      </c>
      <c r="F4" s="20">
        <f>SUMPRODUCT((LEFT(TB_Input!$A$5:$A$200,3)="500")*(TB_Input!$J$5:$J$200))</f>
        <v/>
      </c>
      <c r="G4" s="20">
        <f>SUMPRODUCT((LEFT(TB_Input!$A$5:$A$200,3)="500")*(TB_Input!$M$5:$M$200))</f>
        <v/>
      </c>
      <c r="H4" s="20" t="n">
        <v>15000</v>
      </c>
      <c r="I4" s="20">
        <f>IFERROR(SUMIF(Eliminations!$B$1:$B$1000,A4,Eliminations!$E$1:$E$1000),0)-IFERROR(SUMIF(Eliminations!$C$1:$C$1000,A4,Eliminations!$E$1:$E$1000),0)</f>
        <v/>
      </c>
      <c r="J4" s="20" t="n">
        <v>15000</v>
      </c>
      <c r="K4" s="20" t="n">
        <v>0</v>
      </c>
      <c r="L4" s="20">
        <f>J4-K4</f>
        <v/>
      </c>
    </row>
    <row r="5">
      <c r="A5" t="inlineStr">
        <is>
          <t>PL_I_120</t>
        </is>
      </c>
      <c r="B5" t="inlineStr">
        <is>
          <t>Sale of Power - Biogas</t>
        </is>
      </c>
      <c r="C5" t="n">
        <v>120</v>
      </c>
      <c r="D5" t="n">
        <v>2</v>
      </c>
      <c r="E5" s="20">
        <f>SUMPRODUCT((LEFT(TB_Input!$A$5:$A$200,3)="500")*(TB_Input!$G$5:$G$200))</f>
        <v/>
      </c>
      <c r="F5" s="20">
        <f>SUMPRODUCT((LEFT(TB_Input!$A$5:$A$200,3)="500")*(TB_Input!$J$5:$J$200))</f>
        <v/>
      </c>
      <c r="G5" s="20">
        <f>SUMPRODUCT((LEFT(TB_Input!$A$5:$A$200,3)="500")*(TB_Input!$M$5:$M$200))</f>
        <v/>
      </c>
      <c r="H5" s="20" t="n">
        <v>30000</v>
      </c>
      <c r="I5" s="20">
        <f>IFERROR(SUMIF(Eliminations!$B$1:$B$1000,A5,Eliminations!$E$1:$E$1000),0)-IFERROR(SUMIF(Eliminations!$C$1:$C$1000,A5,Eliminations!$E$1:$E$1000),0)</f>
        <v/>
      </c>
      <c r="J5" s="20" t="n">
        <v>30000</v>
      </c>
      <c r="K5" s="20" t="n">
        <v>0</v>
      </c>
      <c r="L5" s="20">
        <f>J5-K5</f>
        <v/>
      </c>
    </row>
    <row r="6">
      <c r="A6" t="inlineStr">
        <is>
          <t>PL_I_140</t>
        </is>
      </c>
      <c r="B6" t="inlineStr">
        <is>
          <t>EPC Revenue</t>
        </is>
      </c>
      <c r="C6" t="n">
        <v>140</v>
      </c>
      <c r="D6" t="n">
        <v>2</v>
      </c>
      <c r="E6" s="20">
        <f>SUMPRODUCT((LEFT(TB_Input!$A$5:$A$200,3)="510")*(TB_Input!$G$5:$G$200))</f>
        <v/>
      </c>
      <c r="F6" s="20">
        <f>SUMPRODUCT((LEFT(TB_Input!$A$5:$A$200,3)="510")*(TB_Input!$J$5:$J$200))</f>
        <v/>
      </c>
      <c r="G6" s="20">
        <f>SUMPRODUCT((LEFT(TB_Input!$A$5:$A$200,3)="510")*(TB_Input!$M$5:$M$200))</f>
        <v/>
      </c>
      <c r="H6" s="20" t="n">
        <v>0</v>
      </c>
      <c r="I6" s="20">
        <f>IFERROR(SUMIF(Eliminations!$B$1:$B$1000,A6,Eliminations!$E$1:$E$1000),0)-IFERROR(SUMIF(Eliminations!$C$1:$C$1000,A6,Eliminations!$E$1:$E$1000),0)</f>
        <v/>
      </c>
      <c r="J6" s="20" t="n">
        <v>0</v>
      </c>
      <c r="K6" s="20" t="n">
        <v>0</v>
      </c>
      <c r="L6" s="20">
        <f>J6-K6</f>
        <v/>
      </c>
    </row>
    <row r="7">
      <c r="A7" t="inlineStr">
        <is>
          <t>PL_I_150</t>
        </is>
      </c>
      <c r="B7" t="inlineStr">
        <is>
          <t>O&amp;M Services Revenue</t>
        </is>
      </c>
      <c r="C7" t="n">
        <v>150</v>
      </c>
      <c r="D7" t="n">
        <v>2</v>
      </c>
      <c r="E7" s="20">
        <f>SUMPRODUCT((LEFT(TB_Input!$A$5:$A$200,3)="520")*(TB_Input!$G$5:$G$200))</f>
        <v/>
      </c>
      <c r="F7" s="20">
        <f>SUMPRODUCT((LEFT(TB_Input!$A$5:$A$200,3)="520")*(TB_Input!$J$5:$J$200))</f>
        <v/>
      </c>
      <c r="G7" s="20">
        <f>SUMPRODUCT((LEFT(TB_Input!$A$5:$A$200,3)="520")*(TB_Input!$M$5:$M$200))</f>
        <v/>
      </c>
      <c r="H7" s="20" t="n">
        <v>38900</v>
      </c>
      <c r="I7" s="20">
        <f>IFERROR(SUMIF(Eliminations!$B$1:$B$1000,A7,Eliminations!$E$1:$E$1000),0)-IFERROR(SUMIF(Eliminations!$C$1:$C$1000,A7,Eliminations!$E$1:$E$1000),0)</f>
        <v/>
      </c>
      <c r="J7" s="20" t="n">
        <v>38900</v>
      </c>
      <c r="K7" s="20" t="n">
        <v>0</v>
      </c>
      <c r="L7" s="20">
        <f>J7-K7</f>
        <v/>
      </c>
    </row>
    <row r="8">
      <c r="A8" t="inlineStr">
        <is>
          <t>PL_I_170</t>
        </is>
      </c>
      <c r="B8" t="inlineStr">
        <is>
          <t>Other Operating Revenue</t>
        </is>
      </c>
      <c r="C8" t="n">
        <v>170</v>
      </c>
      <c r="D8" t="n">
        <v>2</v>
      </c>
      <c r="E8" s="20">
        <f>SUMPRODUCT((LEFT(TB_Input!$A$5:$A$200,3)="530")*(TB_Input!$G$5:$G$200))</f>
        <v/>
      </c>
      <c r="F8" s="20">
        <f>SUMPRODUCT((LEFT(TB_Input!$A$5:$A$200,3)="530")*(TB_Input!$J$5:$J$200))</f>
        <v/>
      </c>
      <c r="G8" s="20">
        <f>SUMPRODUCT((LEFT(TB_Input!$A$5:$A$200,3)="530")*(TB_Input!$M$5:$M$200))</f>
        <v/>
      </c>
      <c r="H8" s="20" t="n">
        <v>5800</v>
      </c>
      <c r="I8" s="20">
        <f>IFERROR(SUMIF(Eliminations!$B$1:$B$1000,A8,Eliminations!$E$1:$E$1000),0)-IFERROR(SUMIF(Eliminations!$C$1:$C$1000,A8,Eliminations!$E$1:$E$1000),0)</f>
        <v/>
      </c>
      <c r="J8" s="20" t="n">
        <v>5800</v>
      </c>
      <c r="K8" s="20" t="n">
        <v>0</v>
      </c>
      <c r="L8" s="20">
        <f>J8-K8</f>
        <v/>
      </c>
    </row>
    <row r="9">
      <c r="A9" t="inlineStr">
        <is>
          <t>PL_I_200</t>
        </is>
      </c>
      <c r="B9" t="inlineStr">
        <is>
          <t>Other Income</t>
        </is>
      </c>
      <c r="C9" t="n">
        <v>200</v>
      </c>
      <c r="D9" t="n">
        <v>1</v>
      </c>
      <c r="E9" s="20">
        <f>SUMPRODUCT((LEFT(TB_Input!$A$5:$A$200,3)="540")*(TB_Input!$G$5:$G$200))</f>
        <v/>
      </c>
      <c r="F9" s="20">
        <f>SUMPRODUCT((LEFT(TB_Input!$A$5:$A$200,3)="540")*(TB_Input!$J$5:$J$200))</f>
        <v/>
      </c>
      <c r="G9" s="20">
        <f>SUMPRODUCT((LEFT(TB_Input!$A$5:$A$200,3)="540")*(TB_Input!$M$5:$M$200))</f>
        <v/>
      </c>
      <c r="H9" s="20" t="n">
        <v>3100</v>
      </c>
      <c r="I9" s="20">
        <f>IFERROR(SUMIF(Eliminations!$B$1:$B$1000,A9,Eliminations!$E$1:$E$1000),0)-IFERROR(SUMIF(Eliminations!$C$1:$C$1000,A9,Eliminations!$E$1:$E$1000),0)</f>
        <v/>
      </c>
      <c r="J9" s="20" t="n">
        <v>3100</v>
      </c>
      <c r="K9" s="20" t="n">
        <v>0</v>
      </c>
      <c r="L9" s="20">
        <f>J9-K9</f>
        <v/>
      </c>
    </row>
    <row r="10">
      <c r="A10" t="inlineStr">
        <is>
          <t>PL_I_210</t>
        </is>
      </c>
      <c r="B10" t="inlineStr">
        <is>
          <t>Interest Income</t>
        </is>
      </c>
      <c r="C10" t="n">
        <v>210</v>
      </c>
      <c r="D10" t="n">
        <v>2</v>
      </c>
      <c r="E10" s="20">
        <f>SUMPRODUCT((LEFT(TB_Input!$A$5:$A$200,3)="550")*(TB_Input!$G$5:$G$200))</f>
        <v/>
      </c>
      <c r="F10" s="20">
        <f>SUMPRODUCT((LEFT(TB_Input!$A$5:$A$200,3)="550")*(TB_Input!$J$5:$J$200))</f>
        <v/>
      </c>
      <c r="G10" s="20">
        <f>SUMPRODUCT((LEFT(TB_Input!$A$5:$A$200,3)="550")*(TB_Input!$M$5:$M$200))</f>
        <v/>
      </c>
      <c r="H10" s="20" t="n">
        <v>8500</v>
      </c>
      <c r="I10" s="20">
        <f>IFERROR(SUMIF(Eliminations!$B$1:$B$1000,A10,Eliminations!$E$1:$E$1000),0)-IFERROR(SUMIF(Eliminations!$C$1:$C$1000,A10,Eliminations!$E$1:$E$1000),0)</f>
        <v/>
      </c>
      <c r="J10" s="20" t="n">
        <v>8500</v>
      </c>
      <c r="K10" s="20" t="n">
        <v>0</v>
      </c>
      <c r="L10" s="20">
        <f>J10-K10</f>
        <v/>
      </c>
    </row>
    <row r="11">
      <c r="A11" t="inlineStr">
        <is>
          <t>PL_I_220</t>
        </is>
      </c>
      <c r="B11" t="inlineStr">
        <is>
          <t>Dividend Income</t>
        </is>
      </c>
      <c r="C11" t="n">
        <v>220</v>
      </c>
      <c r="D11" t="n">
        <v>2</v>
      </c>
      <c r="E11" s="20">
        <f>SUMPRODUCT((LEFT(TB_Input!$A$5:$A$200,3)="560")*(TB_Input!$G$5:$G$200))</f>
        <v/>
      </c>
      <c r="F11" s="20">
        <f>SUMPRODUCT((LEFT(TB_Input!$A$5:$A$200,3)="560")*(TB_Input!$J$5:$J$200))</f>
        <v/>
      </c>
      <c r="G11" s="20">
        <f>SUMPRODUCT((LEFT(TB_Input!$A$5:$A$200,3)="560")*(TB_Input!$M$5:$M$200))</f>
        <v/>
      </c>
      <c r="H11" s="20" t="n">
        <v>20000</v>
      </c>
      <c r="I11" s="20">
        <f>IFERROR(SUMIF(Eliminations!$B$1:$B$1000,A11,Eliminations!$E$1:$E$1000),0)-IFERROR(SUMIF(Eliminations!$C$1:$C$1000,A11,Eliminations!$E$1:$E$1000),0)</f>
        <v/>
      </c>
      <c r="J11" s="20" t="n">
        <v>20000</v>
      </c>
      <c r="K11" s="20" t="n">
        <v>0</v>
      </c>
      <c r="L11" s="20">
        <f>J11-K11</f>
        <v/>
      </c>
    </row>
    <row r="12">
      <c r="A12" s="15" t="inlineStr">
        <is>
          <t>PL_E_000</t>
        </is>
      </c>
      <c r="B12" s="15" t="inlineStr">
        <is>
          <t>TOTAL EXPENSES</t>
        </is>
      </c>
      <c r="C12" s="15" t="n">
        <v>2000</v>
      </c>
      <c r="D12" t="n">
        <v>0</v>
      </c>
      <c r="E12" s="21">
        <f>E13+E14+E15+E16+E17+E18+E19+E20</f>
        <v/>
      </c>
      <c r="F12" s="21">
        <f>F13+F14+F15+F16+F17+F18+F19+F20</f>
        <v/>
      </c>
      <c r="G12" s="21">
        <f>G13+G14+G15+G16+G17+G18+G19+G20</f>
        <v/>
      </c>
      <c r="H12" s="21" t="n">
        <v>1500</v>
      </c>
      <c r="I12" s="21">
        <f>IFERROR(SUMIF(Eliminations!$B$1:$B$1000,A12,Eliminations!$E$1:$E$1000),0)-IFERROR(SUMIF(Eliminations!$C$1:$C$1000,A12,Eliminations!$E$1:$E$1000),0)</f>
        <v/>
      </c>
      <c r="J12" s="21" t="n">
        <v>1500</v>
      </c>
      <c r="K12" s="20" t="n">
        <v>0</v>
      </c>
      <c r="L12" s="21">
        <f>J12-K12</f>
        <v/>
      </c>
    </row>
    <row r="13">
      <c r="A13" t="inlineStr">
        <is>
          <t>PL_E_100</t>
        </is>
      </c>
      <c r="B13" t="inlineStr">
        <is>
          <t>Cost of Power / Fuel</t>
        </is>
      </c>
      <c r="C13" t="n">
        <v>2100</v>
      </c>
      <c r="D13" t="n">
        <v>1</v>
      </c>
      <c r="E13" s="20">
        <f>SUMPRODUCT((LEFT(TB_Input!$A$5:$A$200,3)="600")*(TB_Input!$G$5:$G$200))</f>
        <v/>
      </c>
      <c r="F13" s="20">
        <f>SUMPRODUCT((LEFT(TB_Input!$A$5:$A$200,3)="600")*(TB_Input!$J$5:$J$200))</f>
        <v/>
      </c>
      <c r="G13" s="20">
        <f>SUMPRODUCT((LEFT(TB_Input!$A$5:$A$200,3)="600")*(TB_Input!$M$5:$M$200))</f>
        <v/>
      </c>
      <c r="H13" s="20" t="n">
        <v>0</v>
      </c>
      <c r="I13" s="20">
        <f>IFERROR(SUMIF(Eliminations!$B$1:$B$1000,A13,Eliminations!$E$1:$E$1000),0)-IFERROR(SUMIF(Eliminations!$C$1:$C$1000,A13,Eliminations!$E$1:$E$1000),0)</f>
        <v/>
      </c>
      <c r="J13" s="20" t="n">
        <v>0</v>
      </c>
      <c r="K13" s="20" t="n">
        <v>0</v>
      </c>
      <c r="L13" s="20">
        <f>J13-K13</f>
        <v/>
      </c>
    </row>
    <row r="14">
      <c r="A14" t="inlineStr">
        <is>
          <t>PL_E_110</t>
        </is>
      </c>
      <c r="B14" t="inlineStr">
        <is>
          <t>Cost of Materials (EPC)</t>
        </is>
      </c>
      <c r="C14" t="n">
        <v>2110</v>
      </c>
      <c r="D14" t="n">
        <v>1</v>
      </c>
      <c r="E14" s="20">
        <f>SUMPRODUCT((LEFT(TB_Input!$A$5:$A$200,3)="610")*(TB_Input!$G$5:$G$200))</f>
        <v/>
      </c>
      <c r="F14" s="20">
        <f>SUMPRODUCT((LEFT(TB_Input!$A$5:$A$200,3)="610")*(TB_Input!$J$5:$J$200))</f>
        <v/>
      </c>
      <c r="G14" s="20">
        <f>SUMPRODUCT((LEFT(TB_Input!$A$5:$A$200,3)="610")*(TB_Input!$M$5:$M$200))</f>
        <v/>
      </c>
      <c r="H14" s="20" t="n">
        <v>6100</v>
      </c>
      <c r="I14" s="20">
        <f>IFERROR(SUMIF(Eliminations!$B$1:$B$1000,A14,Eliminations!$E$1:$E$1000),0)-IFERROR(SUMIF(Eliminations!$C$1:$C$1000,A14,Eliminations!$E$1:$E$1000),0)</f>
        <v/>
      </c>
      <c r="J14" s="20" t="n">
        <v>6100</v>
      </c>
      <c r="K14" s="20" t="n">
        <v>0</v>
      </c>
      <c r="L14" s="20">
        <f>J14-K14</f>
        <v/>
      </c>
    </row>
    <row r="15">
      <c r="A15" t="inlineStr">
        <is>
          <t>PL_E_120</t>
        </is>
      </c>
      <c r="B15" t="inlineStr">
        <is>
          <t>Subcontracting Charges</t>
        </is>
      </c>
      <c r="C15" t="n">
        <v>2120</v>
      </c>
      <c r="D15" t="n">
        <v>1</v>
      </c>
      <c r="E15" s="20">
        <f>SUMPRODUCT((LEFT(TB_Input!$A$5:$A$200,3)="620")*(TB_Input!$G$5:$G$200))</f>
        <v/>
      </c>
      <c r="F15" s="20">
        <f>SUMPRODUCT((LEFT(TB_Input!$A$5:$A$200,3)="620")*(TB_Input!$J$5:$J$200))</f>
        <v/>
      </c>
      <c r="G15" s="20">
        <f>SUMPRODUCT((LEFT(TB_Input!$A$5:$A$200,3)="620")*(TB_Input!$M$5:$M$200))</f>
        <v/>
      </c>
      <c r="H15" s="20" t="n">
        <v>0</v>
      </c>
      <c r="I15" s="20">
        <f>IFERROR(SUMIF(Eliminations!$B$1:$B$1000,A15,Eliminations!$E$1:$E$1000),0)-IFERROR(SUMIF(Eliminations!$C$1:$C$1000,A15,Eliminations!$E$1:$E$1000),0)</f>
        <v/>
      </c>
      <c r="J15" s="20" t="n">
        <v>0</v>
      </c>
      <c r="K15" s="20" t="n">
        <v>0</v>
      </c>
      <c r="L15" s="20">
        <f>J15-K15</f>
        <v/>
      </c>
    </row>
    <row r="16">
      <c r="A16" t="inlineStr">
        <is>
          <t>PL_E_130</t>
        </is>
      </c>
      <c r="B16" t="inlineStr">
        <is>
          <t>Employee Benefits Expense</t>
        </is>
      </c>
      <c r="C16" t="n">
        <v>2130</v>
      </c>
      <c r="D16" t="n">
        <v>1</v>
      </c>
      <c r="E16" s="20">
        <f>SUMPRODUCT((LEFT(TB_Input!$A$5:$A$200,3)="630")*(TB_Input!$G$5:$G$200))</f>
        <v/>
      </c>
      <c r="F16" s="20">
        <f>SUMPRODUCT((LEFT(TB_Input!$A$5:$A$200,3)="630")*(TB_Input!$J$5:$J$200))</f>
        <v/>
      </c>
      <c r="G16" s="20">
        <f>SUMPRODUCT((LEFT(TB_Input!$A$5:$A$200,3)="630")*(TB_Input!$M$5:$M$200))</f>
        <v/>
      </c>
      <c r="H16" s="20" t="n">
        <v>6100</v>
      </c>
      <c r="I16" s="20">
        <f>IFERROR(SUMIF(Eliminations!$B$1:$B$1000,A16,Eliminations!$E$1:$E$1000),0)-IFERROR(SUMIF(Eliminations!$C$1:$C$1000,A16,Eliminations!$E$1:$E$1000),0)</f>
        <v/>
      </c>
      <c r="J16" s="20" t="n">
        <v>6100</v>
      </c>
      <c r="K16" s="20" t="n">
        <v>0</v>
      </c>
      <c r="L16" s="20">
        <f>J16-K16</f>
        <v/>
      </c>
    </row>
    <row r="17">
      <c r="A17" t="inlineStr">
        <is>
          <t>PL_E_140</t>
        </is>
      </c>
      <c r="B17" t="inlineStr">
        <is>
          <t>Finance Costs</t>
        </is>
      </c>
      <c r="C17" t="n">
        <v>2140</v>
      </c>
      <c r="D17" t="n">
        <v>1</v>
      </c>
      <c r="E17" s="20">
        <f>SUMPRODUCT((LEFT(TB_Input!$A$5:$A$200,3)="640")*(TB_Input!$G$5:$G$200))</f>
        <v/>
      </c>
      <c r="F17" s="20">
        <f>SUMPRODUCT((LEFT(TB_Input!$A$5:$A$200,3)="640")*(TB_Input!$J$5:$J$200))</f>
        <v/>
      </c>
      <c r="G17" s="20">
        <f>SUMPRODUCT((LEFT(TB_Input!$A$5:$A$200,3)="640")*(TB_Input!$M$5:$M$200))</f>
        <v/>
      </c>
      <c r="H17" s="20" t="n">
        <v>0</v>
      </c>
      <c r="I17" s="20">
        <f>IFERROR(SUMIF(Eliminations!$B$1:$B$1000,A17,Eliminations!$E$1:$E$1000),0)-IFERROR(SUMIF(Eliminations!$C$1:$C$1000,A17,Eliminations!$E$1:$E$1000),0)</f>
        <v/>
      </c>
      <c r="J17" s="20" t="n">
        <v>0</v>
      </c>
      <c r="K17" s="20" t="n">
        <v>0</v>
      </c>
      <c r="L17" s="20">
        <f>J17-K17</f>
        <v/>
      </c>
    </row>
    <row r="18">
      <c r="A18" t="inlineStr">
        <is>
          <t>PL_E_150</t>
        </is>
      </c>
      <c r="B18" t="inlineStr">
        <is>
          <t>Depreciation &amp; Amortization</t>
        </is>
      </c>
      <c r="C18" t="n">
        <v>2150</v>
      </c>
      <c r="D18" t="n">
        <v>1</v>
      </c>
      <c r="E18" s="20">
        <f>SUMPRODUCT((LEFT(TB_Input!$A$5:$A$200,3)="650")*(TB_Input!$G$5:$G$200))</f>
        <v/>
      </c>
      <c r="F18" s="20">
        <f>SUMPRODUCT((LEFT(TB_Input!$A$5:$A$200,3)="650")*(TB_Input!$J$5:$J$200))</f>
        <v/>
      </c>
      <c r="G18" s="20">
        <f>SUMPRODUCT((LEFT(TB_Input!$A$5:$A$200,3)="650")*(TB_Input!$M$5:$M$200))</f>
        <v/>
      </c>
      <c r="H18" s="20" t="n">
        <v>0</v>
      </c>
      <c r="I18" s="20">
        <f>IFERROR(SUMIF(Eliminations!$B$1:$B$1000,A18,Eliminations!$E$1:$E$1000),0)-IFERROR(SUMIF(Eliminations!$C$1:$C$1000,A18,Eliminations!$E$1:$E$1000),0)</f>
        <v/>
      </c>
      <c r="J18" s="20" t="n">
        <v>0</v>
      </c>
      <c r="K18" s="20" t="n">
        <v>0</v>
      </c>
      <c r="L18" s="20">
        <f>J18-K18</f>
        <v/>
      </c>
    </row>
    <row r="19">
      <c r="A19" t="inlineStr">
        <is>
          <t>PL_E_160</t>
        </is>
      </c>
      <c r="B19" t="inlineStr">
        <is>
          <t>O&amp;M Expenses</t>
        </is>
      </c>
      <c r="C19" t="n">
        <v>2160</v>
      </c>
      <c r="D19" t="n">
        <v>1</v>
      </c>
      <c r="E19" s="20">
        <f>SUMPRODUCT((LEFT(TB_Input!$A$5:$A$200,3)="660")*(TB_Input!$G$5:$G$200))</f>
        <v/>
      </c>
      <c r="F19" s="20">
        <f>SUMPRODUCT((LEFT(TB_Input!$A$5:$A$200,3)="660")*(TB_Input!$J$5:$J$200))</f>
        <v/>
      </c>
      <c r="G19" s="20">
        <f>SUMPRODUCT((LEFT(TB_Input!$A$5:$A$200,3)="660")*(TB_Input!$M$5:$M$200))</f>
        <v/>
      </c>
      <c r="H19" s="20" t="n">
        <v>0</v>
      </c>
      <c r="I19" s="20">
        <f>IFERROR(SUMIF(Eliminations!$B$1:$B$1000,A19,Eliminations!$E$1:$E$1000),0)-IFERROR(SUMIF(Eliminations!$C$1:$C$1000,A19,Eliminations!$E$1:$E$1000),0)</f>
        <v/>
      </c>
      <c r="J19" s="20" t="n">
        <v>0</v>
      </c>
      <c r="K19" s="20" t="n">
        <v>0</v>
      </c>
      <c r="L19" s="20">
        <f>J19-K19</f>
        <v/>
      </c>
    </row>
    <row r="20">
      <c r="A20" t="inlineStr">
        <is>
          <t>PL_E_170</t>
        </is>
      </c>
      <c r="B20" t="inlineStr">
        <is>
          <t>Other Expenses</t>
        </is>
      </c>
      <c r="C20" t="n">
        <v>2170</v>
      </c>
      <c r="D20" t="n">
        <v>1</v>
      </c>
      <c r="E20" s="20">
        <f>SUMPRODUCT((LEFT(TB_Input!$A$5:$A$200,3)="670")*(TB_Input!$G$5:$G$200))</f>
        <v/>
      </c>
      <c r="F20" s="20">
        <f>SUMPRODUCT((LEFT(TB_Input!$A$5:$A$200,3)="670")*(TB_Input!$J$5:$J$200))</f>
        <v/>
      </c>
      <c r="G20" s="20">
        <f>SUMPRODUCT((LEFT(TB_Input!$A$5:$A$200,3)="670")*(TB_Input!$M$5:$M$200))</f>
        <v/>
      </c>
      <c r="H20" s="20" t="n">
        <v>0</v>
      </c>
      <c r="I20" s="20">
        <f>IFERROR(SUMIF(Eliminations!$B$1:$B$1000,A20,Eliminations!$E$1:$E$1000),0)-IFERROR(SUMIF(Eliminations!$C$1:$C$1000,A20,Eliminations!$E$1:$E$1000),0)</f>
        <v/>
      </c>
      <c r="J20" s="20" t="n">
        <v>0</v>
      </c>
      <c r="K20" s="20" t="n">
        <v>0</v>
      </c>
      <c r="L20" s="20">
        <f>J20-K20</f>
        <v/>
      </c>
    </row>
    <row r="21">
      <c r="A21" t="inlineStr">
        <is>
          <t>PL_I_900</t>
        </is>
      </c>
      <c r="B21" t="inlineStr">
        <is>
          <t>EBITDA</t>
        </is>
      </c>
      <c r="C21" t="inlineStr">
        <is>
          <t>900</t>
        </is>
      </c>
      <c r="D21" t="n">
        <v>3</v>
      </c>
      <c r="E21">
        <f>E3-E13</f>
        <v/>
      </c>
      <c r="F21">
        <f>F3-F13</f>
        <v/>
      </c>
      <c r="G21">
        <f>G3-G13</f>
        <v/>
      </c>
      <c r="H21" t="n">
        <v>0</v>
      </c>
      <c r="I21" t="n">
        <v>0</v>
      </c>
      <c r="J21" t="n">
        <v>0</v>
      </c>
      <c r="K21">
        <f>J21-IFERROR(G21*0.4,0)</f>
        <v/>
      </c>
    </row>
    <row r="22">
      <c r="A22" s="15" t="inlineStr">
        <is>
          <t>PL_R_100</t>
        </is>
      </c>
      <c r="B22" s="15" t="inlineStr">
        <is>
          <t>Profit before Tax</t>
        </is>
      </c>
      <c r="C22" s="15" t="n">
        <v>3100</v>
      </c>
      <c r="D22" s="15" t="n">
        <v>1</v>
      </c>
      <c r="E22" s="21">
        <f>E2-E12</f>
        <v/>
      </c>
      <c r="F22" s="21">
        <f>F2-F12</f>
        <v/>
      </c>
      <c r="G22" s="21">
        <f>G2-G12</f>
        <v/>
      </c>
      <c r="H22" s="21" t="n">
        <v>0</v>
      </c>
      <c r="I22" s="21">
        <f>IFERROR(SUMIF(Eliminations!$B$1:$B$1000,A21,Eliminations!$E$1:$E$1000),0)-IFERROR(SUMIF(Eliminations!$C$1:$C$1000,A21,Eliminations!$E$1:$E$1000),0)</f>
        <v/>
      </c>
      <c r="J22" s="21" t="n">
        <v>0</v>
      </c>
      <c r="K22" s="21">
        <f>G21*0.40</f>
        <v/>
      </c>
      <c r="L22" s="21">
        <f>L2-L12</f>
        <v/>
      </c>
    </row>
    <row r="23">
      <c r="A23" t="inlineStr">
        <is>
          <t>PL_R_110</t>
        </is>
      </c>
      <c r="B23" t="inlineStr">
        <is>
          <t>Tax Expense - Current</t>
        </is>
      </c>
      <c r="C23" t="n">
        <v>3110</v>
      </c>
      <c r="D23" t="n">
        <v>2</v>
      </c>
      <c r="E23" s="20">
        <f>SUMPRODUCT((LEFT(TB_Input!$A$5:$A$200,3)="700")*(TB_Input!$G$5:$G$200))</f>
        <v/>
      </c>
      <c r="F23" s="20">
        <f>SUMPRODUCT((LEFT(TB_Input!$A$5:$A$200,3)="700")*(TB_Input!$J$5:$J$200))</f>
        <v/>
      </c>
      <c r="G23" s="20">
        <f>SUMPRODUCT((LEFT(TB_Input!$A$5:$A$200,3)="700")*(TB_Input!$M$5:$M$200))</f>
        <v/>
      </c>
      <c r="H23" s="20" t="n">
        <v>0</v>
      </c>
      <c r="I23" s="20">
        <f>IFERROR(SUMIF(Eliminations!$B$1:$B$1000,A22,Eliminations!$E$1:$E$1000),0)-IFERROR(SUMIF(Eliminations!$C$1:$C$1000,A22,Eliminations!$E$1:$E$1000),0)</f>
        <v/>
      </c>
      <c r="J23" s="20" t="n">
        <v>0</v>
      </c>
      <c r="K23" s="20" t="n">
        <v>0</v>
      </c>
      <c r="L23" s="20">
        <f>J22-K22</f>
        <v/>
      </c>
    </row>
    <row r="24">
      <c r="A24" t="inlineStr">
        <is>
          <t>PL_R_120</t>
        </is>
      </c>
      <c r="B24" t="inlineStr">
        <is>
          <t>Tax Expense - Deferred</t>
        </is>
      </c>
      <c r="C24" t="n">
        <v>3120</v>
      </c>
      <c r="D24" t="n">
        <v>2</v>
      </c>
      <c r="E24" s="20">
        <f>SUMPRODUCT((LEFT(TB_Input!$A$5:$A$200,3)="701")*(TB_Input!$G$5:$G$200))</f>
        <v/>
      </c>
      <c r="F24" s="20">
        <f>SUMPRODUCT((LEFT(TB_Input!$A$5:$A$200,3)="701")*(TB_Input!$J$5:$J$200))</f>
        <v/>
      </c>
      <c r="G24" s="20">
        <f>SUMPRODUCT((LEFT(TB_Input!$A$5:$A$200,3)="701")*(TB_Input!$M$5:$M$200))</f>
        <v/>
      </c>
      <c r="H24" s="20" t="n">
        <v>0</v>
      </c>
      <c r="I24" s="20">
        <f>IFERROR(SUMIF(Eliminations!$B$1:$B$1000,A23,Eliminations!$E$1:$E$1000),0)-IFERROR(SUMIF(Eliminations!$C$1:$C$1000,A23,Eliminations!$E$1:$E$1000),0)</f>
        <v/>
      </c>
      <c r="J24" s="20" t="n">
        <v>0</v>
      </c>
      <c r="K24" s="20" t="n">
        <v>0</v>
      </c>
      <c r="L24" s="20">
        <f>J23-K23</f>
        <v/>
      </c>
    </row>
    <row r="25">
      <c r="A25" s="15" t="inlineStr">
        <is>
          <t>PL_R_200</t>
        </is>
      </c>
      <c r="B25" s="15" t="inlineStr">
        <is>
          <t>Profit for the Year</t>
        </is>
      </c>
      <c r="C25" s="15" t="n">
        <v>3200</v>
      </c>
      <c r="D25" s="15" t="n">
        <v>1</v>
      </c>
      <c r="E25" s="21">
        <f>E21-E22-E23</f>
        <v/>
      </c>
      <c r="F25" s="21">
        <f>F21-F22-F23</f>
        <v/>
      </c>
      <c r="G25" s="21">
        <f>G21-G22-G23</f>
        <v/>
      </c>
      <c r="H25" s="21" t="n">
        <v>0</v>
      </c>
      <c r="I25" s="21">
        <f>IFERROR(SUMIF(Eliminations!$B$1:$B$1000,A24,Eliminations!$E$1:$E$1000),0)-IFERROR(SUMIF(Eliminations!$C$1:$C$1000,A24,Eliminations!$E$1:$E$1000),0)</f>
        <v/>
      </c>
      <c r="J25" s="21" t="n">
        <v>0</v>
      </c>
      <c r="K25" s="21">
        <f>G24*0.40</f>
        <v/>
      </c>
      <c r="L25" s="21">
        <f>L21-L22-L23</f>
        <v/>
      </c>
    </row>
    <row r="26">
      <c r="A26" t="inlineStr">
        <is>
          <t>PL_R_300</t>
        </is>
      </c>
      <c r="B26" t="inlineStr">
        <is>
          <t>Attributable to Owners</t>
        </is>
      </c>
      <c r="C26" t="n">
        <v>3300</v>
      </c>
      <c r="D26" t="n">
        <v>2</v>
      </c>
      <c r="E26" s="20" t="n">
        <v>0</v>
      </c>
      <c r="F26" s="20" t="n">
        <v>0</v>
      </c>
      <c r="G26" s="20" t="n">
        <v>0</v>
      </c>
      <c r="H26" s="20" t="n">
        <v>0</v>
      </c>
      <c r="I26" s="20">
        <f>IFERROR(SUMIF(Eliminations!$B$1:$B$1000,A25,Eliminations!$E$1:$E$1000),0)-IFERROR(SUMIF(Eliminations!$C$1:$C$1000,A25,Eliminations!$E$1:$E$1000),0)</f>
        <v/>
      </c>
      <c r="J26" s="20" t="n">
        <v>0</v>
      </c>
      <c r="K26" s="20" t="n">
        <v>0</v>
      </c>
      <c r="L26" s="20">
        <f>J25-K25</f>
        <v/>
      </c>
    </row>
    <row r="27">
      <c r="A27" t="inlineStr">
        <is>
          <t>PL_R_310</t>
        </is>
      </c>
      <c r="B27" t="inlineStr">
        <is>
          <t>Attributable to NCI</t>
        </is>
      </c>
      <c r="C27" t="n">
        <v>3310</v>
      </c>
      <c r="D27" t="n">
        <v>2</v>
      </c>
      <c r="E27" s="20" t="n">
        <v>0</v>
      </c>
      <c r="F27" s="20" t="n">
        <v>0</v>
      </c>
      <c r="G27" s="20" t="n">
        <v>0</v>
      </c>
      <c r="H27" s="20" t="n">
        <v>0</v>
      </c>
      <c r="I27" s="20">
        <f>IFERROR(SUMIF(Eliminations!$B$1:$B$1000,A26,Eliminations!$E$1:$E$1000),0)-IFERROR(SUMIF(Eliminations!$C$1:$C$1000,A26,Eliminations!$E$1:$E$1000),0)</f>
        <v/>
      </c>
      <c r="J27" s="20" t="n">
        <v>0</v>
      </c>
      <c r="K27" s="20" t="n">
        <v>0</v>
      </c>
      <c r="L27" s="20">
        <f>J26-K26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DDA0DD"/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8" customWidth="1" min="3" max="3"/>
  </cols>
  <sheetData>
    <row r="1">
      <c r="A1" s="33" t="inlineStr">
        <is>
          <t>CF_Line_Code</t>
        </is>
      </c>
      <c r="B1" s="33" t="inlineStr">
        <is>
          <t>CF_Line_Name</t>
        </is>
      </c>
      <c r="C1" s="33" t="inlineStr">
        <is>
          <t>Amount_Jan24</t>
        </is>
      </c>
    </row>
    <row r="2">
      <c r="A2" t="inlineStr">
        <is>
          <t>CF_O_000</t>
        </is>
      </c>
      <c r="B2" t="inlineStr">
        <is>
          <t>A. CASH FLOW FROM OPERATING ACTIVITIES</t>
        </is>
      </c>
      <c r="C2" s="20" t="inlineStr"/>
    </row>
    <row r="3">
      <c r="A3" t="inlineStr">
        <is>
          <t>CF_O_010</t>
        </is>
      </c>
      <c r="B3" t="inlineStr">
        <is>
          <t>Profit before Tax</t>
        </is>
      </c>
      <c r="C3" s="20" t="n">
        <v>6100</v>
      </c>
    </row>
    <row r="4">
      <c r="A4" t="inlineStr">
        <is>
          <t>CF_O_020</t>
        </is>
      </c>
      <c r="B4" t="inlineStr">
        <is>
          <t>Adjustments:</t>
        </is>
      </c>
      <c r="C4" s="20" t="inlineStr"/>
    </row>
    <row r="5">
      <c r="A5" t="inlineStr">
        <is>
          <t>CF_O_021</t>
        </is>
      </c>
      <c r="B5" t="inlineStr">
        <is>
          <t>Depreciation &amp; Amortization</t>
        </is>
      </c>
      <c r="C5" s="20">
        <f>IFERROR(INDEX(Consolidation_PL!$J$1:$J$100,MATCH("PL_E_150",Consolidation_PL!$A$1:$A$100,0)),0)</f>
        <v/>
      </c>
    </row>
    <row r="6">
      <c r="A6" t="inlineStr">
        <is>
          <t>CF_O_022</t>
        </is>
      </c>
      <c r="B6" t="inlineStr">
        <is>
          <t>Finance Costs</t>
        </is>
      </c>
      <c r="C6" s="20">
        <f>IFERROR(INDEX(Consolidation_PL!$J$1:$J$100,MATCH("PL_E_140",Consolidation_PL!$A$1:$A$100,0)),0)</f>
        <v/>
      </c>
    </row>
    <row r="7">
      <c r="A7" t="inlineStr">
        <is>
          <t>CF_O_023</t>
        </is>
      </c>
      <c r="B7" t="inlineStr">
        <is>
          <t>Interest Income</t>
        </is>
      </c>
      <c r="C7" s="20">
        <f>-1*IFERROR(INDEX(Consolidation_PL!$J$1:$J$100,MATCH("PL_I_210",Consolidation_PL!$A$1:$A$100,0)),0)</f>
        <v/>
      </c>
    </row>
    <row r="8">
      <c r="A8" t="inlineStr">
        <is>
          <t>CF_O_030</t>
        </is>
      </c>
      <c r="B8" t="inlineStr">
        <is>
          <t>Operating Profit before WC changes</t>
        </is>
      </c>
      <c r="C8" s="20">
        <f>SUM(C1:C7)</f>
        <v/>
      </c>
    </row>
    <row r="9">
      <c r="A9" t="inlineStr">
        <is>
          <t>CF_O_040</t>
        </is>
      </c>
      <c r="B9" t="inlineStr">
        <is>
          <t>Working Capital changes:</t>
        </is>
      </c>
      <c r="C9" s="20" t="inlineStr"/>
    </row>
    <row r="10">
      <c r="A10" t="inlineStr">
        <is>
          <t>CF_O_041</t>
        </is>
      </c>
      <c r="B10" t="inlineStr">
        <is>
          <t>(Increase)/Decrease in Receivables</t>
        </is>
      </c>
      <c r="C10" s="20">
        <f>-1*(IFERROR(INDEX(Consolidation_BS!$J$1:$J$100,MATCH("BS_A_221",Consolidation_BS!$A$1:$A$100,0)),0)-0)</f>
        <v/>
      </c>
    </row>
    <row r="11">
      <c r="A11" t="inlineStr">
        <is>
          <t>CF_O_042</t>
        </is>
      </c>
      <c r="B11" t="inlineStr">
        <is>
          <t>Increase/(Decrease) in Payables</t>
        </is>
      </c>
      <c r="C11" s="20">
        <f>IFERROR(INDEX(Consolidation_BS!$J$1:$J$100,MATCH("BS_L_213",Consolidation_BS!$A$1:$A$100,0)),0)-0</f>
        <v/>
      </c>
    </row>
    <row r="12">
      <c r="A12" t="inlineStr">
        <is>
          <t>CF_O_050</t>
        </is>
      </c>
      <c r="B12" t="inlineStr">
        <is>
          <t>Cash Generated from Operations</t>
        </is>
      </c>
      <c r="C12" s="20">
        <f>C9+C10+C11</f>
        <v/>
      </c>
    </row>
    <row r="13">
      <c r="A13" t="inlineStr">
        <is>
          <t>CF_O_060</t>
        </is>
      </c>
      <c r="B13" t="inlineStr">
        <is>
          <t>Income Tax Paid</t>
        </is>
      </c>
      <c r="C13" s="20">
        <f>-1*IFERROR(INDEX(Consolidation_PL!$J$1:$J$100,MATCH("PL_R_110",Consolidation_PL!$A$1:$A$100,0)),0)</f>
        <v/>
      </c>
    </row>
    <row r="14">
      <c r="A14" t="inlineStr">
        <is>
          <t>CF_O_100</t>
        </is>
      </c>
      <c r="B14" t="inlineStr">
        <is>
          <t>Net Cash from Operating Activities (A)</t>
        </is>
      </c>
      <c r="C14" s="20">
        <f>C2+SUM(C3:C13)</f>
        <v/>
      </c>
    </row>
    <row r="15">
      <c r="A15" t="inlineStr">
        <is>
          <t>CF_I_000</t>
        </is>
      </c>
      <c r="B15" t="inlineStr">
        <is>
          <t>B. CASH FLOW FROM INVESTING ACTIVITIES</t>
        </is>
      </c>
      <c r="C15" s="20" t="inlineStr"/>
    </row>
    <row r="16">
      <c r="A16" t="inlineStr">
        <is>
          <t>CF_I_010</t>
        </is>
      </c>
      <c r="B16" t="inlineStr">
        <is>
          <t>Purchase of PPE</t>
        </is>
      </c>
      <c r="C16" s="20">
        <f>-1*(IFERROR(INDEX(Consolidation_BS!$J$1:$J$100,MATCH("BS_A_110",Consolidation_BS!$A$1:$A$100,0)),0)-0)</f>
        <v/>
      </c>
    </row>
    <row r="17">
      <c r="A17" t="inlineStr">
        <is>
          <t>CF_I_020</t>
        </is>
      </c>
      <c r="B17" t="inlineStr">
        <is>
          <t>Interest Received</t>
        </is>
      </c>
      <c r="C17" s="20">
        <f>IFERROR(INDEX(Consolidation_PL!$J$1:$J$100,MATCH("PL_I_210",Consolidation_PL!$A$1:$A$100,0)),0)</f>
        <v/>
      </c>
    </row>
    <row r="18">
      <c r="A18" t="inlineStr">
        <is>
          <t>CF_I_100</t>
        </is>
      </c>
      <c r="B18" t="inlineStr">
        <is>
          <t>Net Cash from Investing Activities (B)</t>
        </is>
      </c>
      <c r="C18" s="20">
        <f>SUM(C16:C17)</f>
        <v/>
      </c>
    </row>
    <row r="19">
      <c r="A19" t="inlineStr">
        <is>
          <t>CF_F_000</t>
        </is>
      </c>
      <c r="B19" t="inlineStr">
        <is>
          <t>C. CASH FLOW FROM FINANCING ACTIVITIES</t>
        </is>
      </c>
      <c r="C19" s="20" t="inlineStr"/>
    </row>
    <row r="20">
      <c r="A20" t="inlineStr">
        <is>
          <t>CF_F_010</t>
        </is>
      </c>
      <c r="B20" t="inlineStr">
        <is>
          <t>Proceeds from Borrowings</t>
        </is>
      </c>
      <c r="C20" s="20">
        <f>IFERROR(INDEX(Consolidation_BS!$J$1:$J$100,MATCH("BS_L_111",Consolidation_BS!$A$1:$A$100,0)),0)</f>
        <v/>
      </c>
    </row>
    <row r="21">
      <c r="A21" t="inlineStr">
        <is>
          <t>CF_F_020</t>
        </is>
      </c>
      <c r="B21" t="inlineStr">
        <is>
          <t>Interest Paid</t>
        </is>
      </c>
      <c r="C21" s="20">
        <f>-1*IFERROR(INDEX(Consolidation_PL!$J$1:$J$100,MATCH("PL_E_140",Consolidation_PL!$A$1:$A$100,0)),0)</f>
        <v/>
      </c>
    </row>
    <row r="22">
      <c r="A22" t="inlineStr">
        <is>
          <t>CF_F_100</t>
        </is>
      </c>
      <c r="B22" t="inlineStr">
        <is>
          <t>Net Cash from Financing Activities (C)</t>
        </is>
      </c>
      <c r="C22" s="20">
        <f>SUM(C20:C21)</f>
        <v/>
      </c>
    </row>
    <row r="23">
      <c r="A23" t="inlineStr">
        <is>
          <t>CF_S_000</t>
        </is>
      </c>
      <c r="B23" t="inlineStr">
        <is>
          <t>SUMMARY</t>
        </is>
      </c>
      <c r="C23" s="20" t="inlineStr"/>
    </row>
    <row r="24">
      <c r="A24" t="inlineStr">
        <is>
          <t>CF_S_010</t>
        </is>
      </c>
      <c r="B24" t="inlineStr">
        <is>
          <t>Net Increase/(Decrease) in Cash (A+B+C)</t>
        </is>
      </c>
      <c r="C24" s="20">
        <f>IFERROR(INDEX(C:C,MATCH("CF_O_100",A:A,0)),0)+IFERROR(INDEX(C:C,MATCH("CF_I_100",A:A,0)),0)+IFERROR(INDEX(C:C,MATCH("CF_F_100",A:A,0)),0)</f>
        <v/>
      </c>
    </row>
    <row r="25">
      <c r="A25" t="inlineStr">
        <is>
          <t>CF_S_020</t>
        </is>
      </c>
      <c r="B25" t="inlineStr">
        <is>
          <t>Cash at Beginning of Period</t>
        </is>
      </c>
      <c r="C25" s="20" t="n">
        <v>0</v>
      </c>
    </row>
    <row r="26">
      <c r="A26" t="inlineStr">
        <is>
          <t>CF_S_030</t>
        </is>
      </c>
      <c r="B26" t="inlineStr">
        <is>
          <t>Cash at End of Period</t>
        </is>
      </c>
      <c r="C26" s="20">
        <f>IFERROR(INDEX(Consolidation_BS!$J$1:$J$100,MATCH("BS_A_222",Consolidation_BS!$A$1:$A$100,0)),0)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FB6C1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45" customWidth="1" min="4" max="4"/>
    <col width="15" customWidth="1" min="5" max="5"/>
    <col width="35" customWidth="1" min="6" max="6"/>
  </cols>
  <sheetData>
    <row r="1">
      <c r="A1" s="34" t="inlineStr">
        <is>
          <t>Elimination_Type</t>
        </is>
      </c>
      <c r="B1" s="34" t="inlineStr">
        <is>
          <t>FS_Line_Code_Dr</t>
        </is>
      </c>
      <c r="C1" s="34" t="inlineStr">
        <is>
          <t>FS_Line_Code_Cr</t>
        </is>
      </c>
      <c r="D1" s="34" t="inlineStr">
        <is>
          <t>Description</t>
        </is>
      </c>
      <c r="E1" s="34" t="inlineStr">
        <is>
          <t>Amount_Jan24</t>
        </is>
      </c>
      <c r="F1" s="34" t="inlineStr">
        <is>
          <t>Formula_Notes</t>
        </is>
      </c>
    </row>
    <row r="2">
      <c r="A2" t="inlineStr">
        <is>
          <t>EPC_Revenue_Elim</t>
        </is>
      </c>
      <c r="B2" t="inlineStr">
        <is>
          <t>PL_I_140</t>
        </is>
      </c>
      <c r="D2" t="inlineStr">
        <is>
          <t>Eliminate EPC revenue from Parent to SPV</t>
        </is>
      </c>
      <c r="E2" s="20">
        <f>IC_Transactions!F2</f>
        <v/>
      </c>
      <c r="F2" t="inlineStr">
        <is>
          <t>IC001 - EPC Revenue elimination</t>
        </is>
      </c>
    </row>
    <row r="3">
      <c r="A3" t="inlineStr">
        <is>
          <t>Profit_in_CWIP</t>
        </is>
      </c>
      <c r="B3" t="inlineStr">
        <is>
          <t>BS_A_120</t>
        </is>
      </c>
      <c r="D3" t="inlineStr">
        <is>
          <t>Eliminate unrealized profit in CWIP</t>
        </is>
      </c>
      <c r="E3" s="20">
        <f>-IC_Transactions!H2</f>
        <v/>
      </c>
      <c r="F3" t="inlineStr">
        <is>
          <t>IC001 - 10% profit margin elimination</t>
        </is>
      </c>
    </row>
    <row r="4">
      <c r="A4" t="inlineStr">
        <is>
          <t>IC_Loan_Elim_Asset</t>
        </is>
      </c>
      <c r="C4" t="inlineStr">
        <is>
          <t>BS_A_153</t>
        </is>
      </c>
      <c r="D4" t="inlineStr">
        <is>
          <t>Eliminate IC loan receivable</t>
        </is>
      </c>
      <c r="E4" s="20">
        <f>IC_Transactions!F3</f>
        <v/>
      </c>
      <c r="F4" t="inlineStr">
        <is>
          <t>IC002 - Loan asset elimination</t>
        </is>
      </c>
    </row>
    <row r="5">
      <c r="A5" t="inlineStr">
        <is>
          <t>IC_Loan_Elim_Liab</t>
        </is>
      </c>
      <c r="B5" t="inlineStr">
        <is>
          <t>BS_L_211</t>
        </is>
      </c>
      <c r="D5" t="inlineStr">
        <is>
          <t>Eliminate IC loan payable</t>
        </is>
      </c>
      <c r="E5" s="20">
        <f>IC_Transactions!F3</f>
        <v/>
      </c>
      <c r="F5" t="inlineStr">
        <is>
          <t>IC002 - Loan liability elimination</t>
        </is>
      </c>
    </row>
    <row r="6">
      <c r="A6" t="inlineStr">
        <is>
          <t>IC_Interest_Elim_Inc</t>
        </is>
      </c>
      <c r="C6" t="inlineStr">
        <is>
          <t>PL_I_210</t>
        </is>
      </c>
      <c r="D6" t="inlineStr">
        <is>
          <t>Eliminate IC interest income</t>
        </is>
      </c>
      <c r="E6" s="20">
        <f>IC_Transactions!F4</f>
        <v/>
      </c>
      <c r="F6" t="inlineStr">
        <is>
          <t>IC003 - Interest income elimination</t>
        </is>
      </c>
    </row>
    <row r="7">
      <c r="A7" t="inlineStr">
        <is>
          <t>IC_Interest_Elim_Exp</t>
        </is>
      </c>
      <c r="B7" t="inlineStr">
        <is>
          <t>PL_E_140</t>
        </is>
      </c>
      <c r="D7" t="inlineStr">
        <is>
          <t>Eliminate IC interest expense</t>
        </is>
      </c>
      <c r="E7" s="20">
        <f>IC_Transactions!F4</f>
        <v/>
      </c>
      <c r="F7" t="inlineStr">
        <is>
          <t>IC003 - Interest expense elimination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0FFFF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3" t="inlineStr">
        <is>
          <t>PARENT RENEWABLE LTD</t>
        </is>
      </c>
    </row>
    <row r="2">
      <c r="A2" s="24" t="inlineStr">
        <is>
          <t>CONSOLIDATED BALANCE SHEET</t>
        </is>
      </c>
    </row>
    <row r="3">
      <c r="A3" s="25" t="inlineStr">
        <is>
          <t>As at 31st March 2024</t>
        </is>
      </c>
    </row>
    <row r="4">
      <c r="A4" s="5" t="inlineStr">
        <is>
          <t>(All amounts in ₹ Lacs unless otherwise stated)</t>
        </is>
      </c>
    </row>
    <row r="5">
      <c r="B5">
        <f>Consolidation_BS!I5</f>
        <v/>
      </c>
      <c r="C5" t="n">
        <v>0</v>
      </c>
    </row>
    <row r="6">
      <c r="A6" s="26" t="inlineStr">
        <is>
          <t>Particulars</t>
        </is>
      </c>
      <c r="B6" s="26" t="inlineStr">
        <is>
          <t>Note</t>
        </is>
      </c>
      <c r="C6" s="26" t="inlineStr">
        <is>
          <t>FY2024</t>
        </is>
      </c>
      <c r="D6" s="26" t="inlineStr">
        <is>
          <t>FY2023</t>
        </is>
      </c>
      <c r="E6" s="26" t="inlineStr">
        <is>
          <t>Variance</t>
        </is>
      </c>
      <c r="F6" s="26" t="inlineStr">
        <is>
          <t>Variance %</t>
        </is>
      </c>
    </row>
    <row r="7">
      <c r="A7" t="inlineStr">
        <is>
          <t>ASSETS</t>
        </is>
      </c>
      <c r="B7">
        <f>Consolidation_BS!I7</f>
        <v/>
      </c>
      <c r="C7" t="n">
        <v>137500</v>
      </c>
    </row>
    <row r="8">
      <c r="A8" t="inlineStr">
        <is>
          <t>Non-Current Assets</t>
        </is>
      </c>
      <c r="B8">
        <f>Consolidation_BS!I8</f>
        <v/>
      </c>
      <c r="C8" t="n">
        <v>119500</v>
      </c>
    </row>
    <row r="9">
      <c r="A9" t="inlineStr">
        <is>
          <t xml:space="preserve">  Property, Plant &amp; Equipment</t>
        </is>
      </c>
      <c r="B9" t="inlineStr">
        <is>
          <t>1</t>
        </is>
      </c>
      <c r="C9" t="n">
        <v>77500</v>
      </c>
      <c r="D9" t="n">
        <v>0</v>
      </c>
    </row>
    <row r="10">
      <c r="A10" t="inlineStr">
        <is>
          <t xml:space="preserve">  Capital Work-in-Progress</t>
        </is>
      </c>
      <c r="B10" t="inlineStr">
        <is>
          <t>2</t>
        </is>
      </c>
      <c r="C10" t="n">
        <v>42000</v>
      </c>
      <c r="D10" t="n">
        <v>0</v>
      </c>
    </row>
    <row r="11">
      <c r="A11" t="inlineStr">
        <is>
          <t xml:space="preserve">  Investments in JV/Associates</t>
        </is>
      </c>
      <c r="B11" t="inlineStr">
        <is>
          <t>3</t>
        </is>
      </c>
      <c r="C11" t="n">
        <v>0</v>
      </c>
      <c r="D11" t="n">
        <v>0</v>
      </c>
    </row>
    <row r="12">
      <c r="A12" s="15" t="inlineStr">
        <is>
          <t>Total Non-Current Assets</t>
        </is>
      </c>
      <c r="B12">
        <f>Consolidation_BS!I12</f>
        <v/>
      </c>
      <c r="C12" t="n">
        <v>0</v>
      </c>
      <c r="E12">
        <f>C12-D12</f>
        <v/>
      </c>
      <c r="F12" s="35">
        <f>IFERROR(E12/D12,0)</f>
        <v/>
      </c>
    </row>
    <row r="13">
      <c r="A13" t="inlineStr">
        <is>
          <t>Current Assets</t>
        </is>
      </c>
      <c r="B13">
        <f>Consolidation_BS!I13</f>
        <v/>
      </c>
      <c r="C13" t="n">
        <v>0</v>
      </c>
    </row>
    <row r="14">
      <c r="A14" t="inlineStr">
        <is>
          <t xml:space="preserve">  Trade Receivables</t>
        </is>
      </c>
      <c r="B14" t="inlineStr">
        <is>
          <t>4</t>
        </is>
      </c>
      <c r="C14" t="n">
        <v>0</v>
      </c>
      <c r="D14" t="n">
        <v>0</v>
      </c>
    </row>
    <row r="15">
      <c r="A15" t="inlineStr">
        <is>
          <t xml:space="preserve">  Cash and Cash Equivalents</t>
        </is>
      </c>
      <c r="B15" t="inlineStr">
        <is>
          <t>5</t>
        </is>
      </c>
      <c r="C15" t="n">
        <v>0</v>
      </c>
      <c r="D15" t="n">
        <v>0</v>
      </c>
    </row>
    <row r="16">
      <c r="A16" s="15" t="inlineStr">
        <is>
          <t>Total Current Assets</t>
        </is>
      </c>
      <c r="B16">
        <f>Consolidation_BS!I16</f>
        <v/>
      </c>
      <c r="C16" t="n">
        <v>20000</v>
      </c>
      <c r="E16">
        <f>C16-D16</f>
        <v/>
      </c>
      <c r="F16" s="35">
        <f>IFERROR(E16/D16,0)</f>
        <v/>
      </c>
    </row>
    <row r="17">
      <c r="A17" s="15" t="inlineStr">
        <is>
          <t>TOTAL ASSETS</t>
        </is>
      </c>
      <c r="B17">
        <f>Consolidation_BS!I17</f>
        <v/>
      </c>
      <c r="C17" t="n">
        <v>18000</v>
      </c>
      <c r="E17">
        <f>C17-D17</f>
        <v/>
      </c>
      <c r="F17" s="35">
        <f>IFERROR(E17/D17,0)</f>
        <v/>
      </c>
    </row>
    <row r="18">
      <c r="B18">
        <f>Consolidation_BS!I18</f>
        <v/>
      </c>
      <c r="C18" t="n">
        <v>0</v>
      </c>
    </row>
    <row r="19">
      <c r="A19" t="inlineStr">
        <is>
          <t>EQUITY AND LIABILITIES</t>
        </is>
      </c>
      <c r="B19">
        <f>Consolidation_BS!I19</f>
        <v/>
      </c>
      <c r="C19" t="n">
        <v>18000</v>
      </c>
    </row>
    <row r="20">
      <c r="A20" t="inlineStr">
        <is>
          <t>Equity</t>
        </is>
      </c>
      <c r="B20">
        <f>Consolidation_BS!I20</f>
        <v/>
      </c>
      <c r="C20" t="n">
        <v>0</v>
      </c>
    </row>
    <row r="21">
      <c r="A21" t="inlineStr">
        <is>
          <t xml:space="preserve">  Equity Share Capital</t>
        </is>
      </c>
      <c r="B21" t="inlineStr">
        <is>
          <t>6</t>
        </is>
      </c>
      <c r="C21" t="n">
        <v>0</v>
      </c>
      <c r="D21" t="n">
        <v>0</v>
      </c>
    </row>
    <row r="22">
      <c r="A22" t="inlineStr">
        <is>
          <t xml:space="preserve">  Other Equity</t>
        </is>
      </c>
      <c r="B22" t="inlineStr">
        <is>
          <t>7</t>
        </is>
      </c>
      <c r="C22" t="n">
        <v>45000</v>
      </c>
      <c r="D22" t="n">
        <v>0</v>
      </c>
    </row>
    <row r="23">
      <c r="A23" t="inlineStr">
        <is>
          <t xml:space="preserve">  Non-Controlling Interests</t>
        </is>
      </c>
      <c r="B23" t="inlineStr">
        <is>
          <t>8</t>
        </is>
      </c>
      <c r="C23" t="n">
        <v>3000</v>
      </c>
      <c r="D23" t="n">
        <v>0</v>
      </c>
    </row>
    <row r="24">
      <c r="A24" s="15" t="inlineStr">
        <is>
          <t>Total Equity</t>
        </is>
      </c>
      <c r="B24">
        <f>Consolidation_BS!I24</f>
        <v/>
      </c>
      <c r="C24" t="n">
        <v>0</v>
      </c>
      <c r="E24">
        <f>C24-D24</f>
        <v/>
      </c>
      <c r="F24" s="35">
        <f>IFERROR(E24/D24,0)</f>
        <v/>
      </c>
    </row>
    <row r="25">
      <c r="A25" t="inlineStr">
        <is>
          <t>Non-Current Liabilities</t>
        </is>
      </c>
      <c r="B25">
        <f>Consolidation_BS!I25</f>
        <v/>
      </c>
      <c r="C25" t="n">
        <v>0</v>
      </c>
    </row>
    <row r="26">
      <c r="A26" t="inlineStr">
        <is>
          <t xml:space="preserve">  Borrowings (Non-Current)</t>
        </is>
      </c>
      <c r="B26" t="inlineStr">
        <is>
          <t>9</t>
        </is>
      </c>
      <c r="C26" t="n">
        <v>45000</v>
      </c>
      <c r="D26" t="n">
        <v>0</v>
      </c>
    </row>
    <row r="27">
      <c r="A27" s="15" t="inlineStr">
        <is>
          <t>Total Non-Current Liabilities</t>
        </is>
      </c>
      <c r="B27">
        <f>Consolidation_BS!I27</f>
        <v/>
      </c>
      <c r="C27" t="n">
        <v>0</v>
      </c>
      <c r="E27">
        <f>C27-D27</f>
        <v/>
      </c>
      <c r="F27" s="35">
        <f>IFERROR(E27/D27,0)</f>
        <v/>
      </c>
    </row>
    <row r="28">
      <c r="A28" t="inlineStr">
        <is>
          <t>Current Liabilities</t>
        </is>
      </c>
      <c r="B28">
        <f>Consolidation_BS!I28</f>
        <v/>
      </c>
      <c r="C28" t="n">
        <v>0</v>
      </c>
    </row>
    <row r="29">
      <c r="A29" t="inlineStr">
        <is>
          <t xml:space="preserve">  Borrowings (Current)</t>
        </is>
      </c>
      <c r="B29" t="inlineStr">
        <is>
          <t>10</t>
        </is>
      </c>
      <c r="C29" t="n">
        <v>7500</v>
      </c>
      <c r="D29" t="n">
        <v>0</v>
      </c>
    </row>
    <row r="30">
      <c r="A30" t="inlineStr">
        <is>
          <t xml:space="preserve">  Trade Payables</t>
        </is>
      </c>
      <c r="B30" t="inlineStr">
        <is>
          <t>11</t>
        </is>
      </c>
      <c r="C30" t="n">
        <v>0</v>
      </c>
      <c r="D30" t="n">
        <v>0</v>
      </c>
    </row>
    <row r="31">
      <c r="A31" s="15" t="inlineStr">
        <is>
          <t>Total Current Liabilities</t>
        </is>
      </c>
      <c r="C31" t="n">
        <v>0</v>
      </c>
      <c r="E31">
        <f>C31-D31</f>
        <v/>
      </c>
      <c r="F31" s="35">
        <f>IFERROR(E31/D31,0)</f>
        <v/>
      </c>
    </row>
    <row r="32">
      <c r="A32" s="15" t="inlineStr">
        <is>
          <t>TOTAL EQUITY AND LIABILITIES</t>
        </is>
      </c>
      <c r="C32" t="n">
        <v>0</v>
      </c>
      <c r="E32">
        <f>C32-D32</f>
        <v/>
      </c>
      <c r="F32" s="35">
        <f>IFERROR(E32/D32,0)</f>
        <v/>
      </c>
    </row>
    <row r="33">
      <c r="C33" t="n">
        <v>0</v>
      </c>
    </row>
    <row r="34">
      <c r="A34" t="inlineStr">
        <is>
          <t>NOTE: This output should link to:</t>
        </is>
      </c>
    </row>
    <row r="35">
      <c r="A35" s="32">
        <f>Consolidation_BS!Post_Elim_Total[Selected_Period]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0FFFF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3" t="inlineStr">
        <is>
          <t>PARENT RENEWABLE LTD</t>
        </is>
      </c>
    </row>
    <row r="2">
      <c r="A2" s="24" t="inlineStr">
        <is>
          <t>CONSOLIDATED STATEMENT OF PROFIT AND LOSS</t>
        </is>
      </c>
    </row>
    <row r="3">
      <c r="A3" s="25" t="inlineStr">
        <is>
          <t>For the year ended 31st March 2024</t>
        </is>
      </c>
    </row>
    <row r="4">
      <c r="A4" s="5" t="inlineStr">
        <is>
          <t>(All amounts in ₹ Lacs unless otherwise stated)</t>
        </is>
      </c>
    </row>
    <row r="5">
      <c r="B5">
        <f>Consolidation_PL!K5</f>
        <v/>
      </c>
      <c r="C5" t="n">
        <v>0</v>
      </c>
    </row>
    <row r="6">
      <c r="A6" s="26" t="inlineStr">
        <is>
          <t>Particulars</t>
        </is>
      </c>
      <c r="B6" s="26" t="inlineStr">
        <is>
          <t>Note</t>
        </is>
      </c>
      <c r="C6" s="26" t="inlineStr">
        <is>
          <t>FY2024</t>
        </is>
      </c>
      <c r="D6" s="26" t="inlineStr">
        <is>
          <t>FY2023</t>
        </is>
      </c>
      <c r="E6" s="26" t="inlineStr">
        <is>
          <t>Variance</t>
        </is>
      </c>
      <c r="F6" s="26" t="inlineStr">
        <is>
          <t>Variance %</t>
        </is>
      </c>
    </row>
    <row r="7">
      <c r="A7" t="inlineStr">
        <is>
          <t>INCOME</t>
        </is>
      </c>
      <c r="B7">
        <f>Consolidation_PL!K7</f>
        <v/>
      </c>
      <c r="C7" t="n">
        <v>45000</v>
      </c>
    </row>
    <row r="8">
      <c r="A8" t="inlineStr">
        <is>
          <t>Revenue from Operations</t>
        </is>
      </c>
      <c r="B8">
        <f>Consolidation_PL!K8</f>
        <v/>
      </c>
      <c r="C8" t="n">
        <v>45000</v>
      </c>
    </row>
    <row r="9">
      <c r="A9" t="inlineStr">
        <is>
          <t xml:space="preserve">  Sale of Power - Solar</t>
        </is>
      </c>
      <c r="B9" t="inlineStr">
        <is>
          <t>12</t>
        </is>
      </c>
      <c r="C9" t="n">
        <v>15000</v>
      </c>
      <c r="D9" t="n">
        <v>0</v>
      </c>
    </row>
    <row r="10">
      <c r="A10" t="inlineStr">
        <is>
          <t xml:space="preserve">  Sale of Power - Biogas</t>
        </is>
      </c>
      <c r="B10" t="inlineStr">
        <is>
          <t>13</t>
        </is>
      </c>
      <c r="C10" t="n">
        <v>30000</v>
      </c>
      <c r="D10" t="n">
        <v>0</v>
      </c>
    </row>
    <row r="11">
      <c r="A11" t="inlineStr">
        <is>
          <t xml:space="preserve">  EPC Revenue</t>
        </is>
      </c>
      <c r="B11" t="inlineStr">
        <is>
          <t>14</t>
        </is>
      </c>
      <c r="C11" t="n">
        <v>0</v>
      </c>
      <c r="D11" t="n">
        <v>0</v>
      </c>
    </row>
    <row r="12">
      <c r="A12" s="15" t="inlineStr">
        <is>
          <t>Total Revenue from Operations</t>
        </is>
      </c>
      <c r="B12">
        <f>Consolidation_PL!K12</f>
        <v/>
      </c>
      <c r="C12" t="n">
        <v>38900</v>
      </c>
      <c r="E12">
        <f>C12-D12</f>
        <v/>
      </c>
      <c r="F12" s="35">
        <f>IFERROR(E12/D12,0)</f>
        <v/>
      </c>
    </row>
    <row r="13">
      <c r="A13" t="inlineStr">
        <is>
          <t>Other Income</t>
        </is>
      </c>
      <c r="B13" t="inlineStr">
        <is>
          <t>15</t>
        </is>
      </c>
      <c r="C13" t="n">
        <v>5800</v>
      </c>
      <c r="D13" t="n">
        <v>0</v>
      </c>
    </row>
    <row r="14">
      <c r="A14" s="15" t="inlineStr">
        <is>
          <t>Total Income</t>
        </is>
      </c>
      <c r="B14">
        <f>Consolidation_PL!K14</f>
        <v/>
      </c>
      <c r="C14" t="n">
        <v>3100</v>
      </c>
      <c r="E14">
        <f>C14-D14</f>
        <v/>
      </c>
      <c r="F14" s="35">
        <f>IFERROR(E14/D14,0)</f>
        <v/>
      </c>
    </row>
    <row r="15">
      <c r="B15">
        <f>Consolidation_PL!K15</f>
        <v/>
      </c>
      <c r="C15" t="n">
        <v>8500</v>
      </c>
    </row>
    <row r="16">
      <c r="A16" t="inlineStr">
        <is>
          <t>EXPENSES</t>
        </is>
      </c>
      <c r="B16">
        <f>Consolidation_PL!K16</f>
        <v/>
      </c>
      <c r="C16" t="n">
        <v>20000</v>
      </c>
    </row>
    <row r="17">
      <c r="A17" t="inlineStr">
        <is>
          <t xml:space="preserve">  Cost of Materials (EPC)</t>
        </is>
      </c>
      <c r="B17" t="inlineStr">
        <is>
          <t>16</t>
        </is>
      </c>
      <c r="C17" t="n">
        <v>1500</v>
      </c>
      <c r="D17" t="n">
        <v>0</v>
      </c>
    </row>
    <row r="18">
      <c r="A18" t="inlineStr">
        <is>
          <t xml:space="preserve">  Employee Benefits</t>
        </is>
      </c>
      <c r="B18" t="inlineStr">
        <is>
          <t>17</t>
        </is>
      </c>
      <c r="C18" t="n">
        <v>0</v>
      </c>
      <c r="D18" t="n">
        <v>0</v>
      </c>
    </row>
    <row r="19">
      <c r="A19" t="inlineStr">
        <is>
          <t xml:space="preserve">  Finance Costs</t>
        </is>
      </c>
      <c r="B19" t="inlineStr">
        <is>
          <t>18</t>
        </is>
      </c>
      <c r="C19" t="n">
        <v>6100</v>
      </c>
      <c r="D19" t="n">
        <v>0</v>
      </c>
    </row>
    <row r="20">
      <c r="A20" t="inlineStr">
        <is>
          <t xml:space="preserve">  Depreciation &amp; Amortization</t>
        </is>
      </c>
      <c r="B20" t="inlineStr">
        <is>
          <t>19</t>
        </is>
      </c>
      <c r="C20" t="n">
        <v>0</v>
      </c>
      <c r="D20" t="n">
        <v>0</v>
      </c>
    </row>
    <row r="21">
      <c r="A21" t="inlineStr">
        <is>
          <t xml:space="preserve">  Other Expenses</t>
        </is>
      </c>
      <c r="B21" t="inlineStr">
        <is>
          <t>20</t>
        </is>
      </c>
      <c r="C21" t="n">
        <v>6100</v>
      </c>
      <c r="D21" t="n">
        <v>0</v>
      </c>
    </row>
    <row r="22">
      <c r="A22" s="15" t="inlineStr">
        <is>
          <t>Total Expenses</t>
        </is>
      </c>
      <c r="B22">
        <f>Consolidation_PL!K22</f>
        <v/>
      </c>
      <c r="C22" t="n">
        <v>0</v>
      </c>
      <c r="E22">
        <f>C22-D22</f>
        <v/>
      </c>
      <c r="F22" s="35">
        <f>IFERROR(E22/D22,0)</f>
        <v/>
      </c>
    </row>
    <row r="23">
      <c r="A23" t="inlineStr">
        <is>
          <t>EBITDA</t>
        </is>
      </c>
      <c r="B23">
        <f>Consolidation_PL!K21</f>
        <v/>
      </c>
      <c r="C23" t="n">
        <v>0</v>
      </c>
    </row>
    <row r="24">
      <c r="B24">
        <f>Consolidation_PL!K23</f>
        <v/>
      </c>
      <c r="C24" t="n">
        <v>0</v>
      </c>
    </row>
    <row r="25">
      <c r="A25" s="15" t="inlineStr">
        <is>
          <t>Profit before Tax</t>
        </is>
      </c>
      <c r="B25">
        <f>Consolidation_PL!K24</f>
        <v/>
      </c>
      <c r="C25" t="n">
        <v>0</v>
      </c>
      <c r="D25" t="n">
        <v>0</v>
      </c>
    </row>
    <row r="26">
      <c r="A26" t="inlineStr">
        <is>
          <t>Tax Expense</t>
        </is>
      </c>
      <c r="B26" t="inlineStr">
        <is>
          <t>21</t>
        </is>
      </c>
      <c r="C26" t="n">
        <v>0</v>
      </c>
      <c r="D26" t="n">
        <v>0</v>
      </c>
    </row>
    <row r="27">
      <c r="A27" s="15" t="inlineStr">
        <is>
          <t>Profit for the Year</t>
        </is>
      </c>
      <c r="B27">
        <f>Consolidation_PL!K26</f>
        <v/>
      </c>
      <c r="C27" t="n">
        <v>0</v>
      </c>
      <c r="D27" t="n">
        <v>0</v>
      </c>
    </row>
    <row r="28">
      <c r="C28" t="n">
        <v>0</v>
      </c>
    </row>
    <row r="29">
      <c r="A29" t="inlineStr">
        <is>
          <t>Attributable to:</t>
        </is>
      </c>
      <c r="C29" t="n">
        <v>0</v>
      </c>
    </row>
    <row r="30">
      <c r="A30" t="inlineStr">
        <is>
          <t xml:space="preserve">  Owners of the Company</t>
        </is>
      </c>
      <c r="C30" t="n">
        <v>0</v>
      </c>
      <c r="D30" t="n">
        <v>0</v>
      </c>
    </row>
    <row r="31">
      <c r="A31" t="inlineStr">
        <is>
          <t xml:space="preserve">  Non-Controlling Interests</t>
        </is>
      </c>
      <c r="C31" t="n">
        <v>0</v>
      </c>
      <c r="D31" t="n">
        <v>0</v>
      </c>
    </row>
    <row r="32">
      <c r="A32" s="15" t="inlineStr">
        <is>
          <t>Profit for the Year</t>
        </is>
      </c>
      <c r="C32" t="n">
        <v>0</v>
      </c>
      <c r="D32" t="n">
        <v>0</v>
      </c>
    </row>
    <row r="34">
      <c r="A34" t="inlineStr">
        <is>
          <t>NOTE: This output should link to:</t>
        </is>
      </c>
    </row>
    <row r="35">
      <c r="A35" s="32">
        <f>Consolidation_PL!Post_Elim_Total[Selected_Period]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0FFFF"/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3" t="inlineStr">
        <is>
          <t>PARENT RENEWABLE LTD</t>
        </is>
      </c>
    </row>
    <row r="2">
      <c r="A2" s="24" t="inlineStr">
        <is>
          <t>CONSOLIDATED STATEMENT OF CASH FLOWS</t>
        </is>
      </c>
    </row>
    <row r="3">
      <c r="A3" s="25" t="inlineStr">
        <is>
          <t>For the year ended 31st March 2024 (Indirect Method)</t>
        </is>
      </c>
    </row>
    <row r="4">
      <c r="A4" s="5" t="inlineStr">
        <is>
          <t>(All amounts in ₹ Lacs unless otherwise stated)</t>
        </is>
      </c>
    </row>
    <row r="5">
      <c r="B5">
        <f>Consolidation_CF!H5</f>
        <v/>
      </c>
      <c r="C5" t="n">
        <v>0</v>
      </c>
    </row>
    <row r="6">
      <c r="A6" s="26" t="inlineStr">
        <is>
          <t>Particulars</t>
        </is>
      </c>
      <c r="B6" s="26" t="inlineStr">
        <is>
          <t>FY2024</t>
        </is>
      </c>
      <c r="C6" s="26" t="inlineStr">
        <is>
          <t>FY2023</t>
        </is>
      </c>
    </row>
    <row r="7">
      <c r="A7" t="inlineStr">
        <is>
          <t>A. CASH FLOW FROM OPERATING ACTIVITIES</t>
        </is>
      </c>
      <c r="B7">
        <f>Consolidation_CF!H7</f>
        <v/>
      </c>
      <c r="C7" t="n">
        <v>0</v>
      </c>
    </row>
    <row r="8">
      <c r="A8" t="inlineStr">
        <is>
          <t>Profit before Tax</t>
        </is>
      </c>
      <c r="B8">
        <f>Consolidation_CF!H8</f>
        <v/>
      </c>
      <c r="C8" t="n">
        <v>0</v>
      </c>
    </row>
    <row r="9">
      <c r="A9" t="inlineStr">
        <is>
          <t>Adjustments:</t>
        </is>
      </c>
      <c r="B9">
        <f>Consolidation_CF!H9</f>
        <v/>
      </c>
      <c r="C9" t="n">
        <v>0</v>
      </c>
    </row>
    <row r="10">
      <c r="A10" t="inlineStr">
        <is>
          <t xml:space="preserve">  Depreciation &amp; Amortization</t>
        </is>
      </c>
      <c r="B10">
        <f>Consolidation_CF!H10</f>
        <v/>
      </c>
      <c r="C10" t="n">
        <v>0</v>
      </c>
    </row>
    <row r="11">
      <c r="A11" t="inlineStr">
        <is>
          <t xml:space="preserve">  Finance Costs</t>
        </is>
      </c>
      <c r="B11">
        <f>Consolidation_CF!H11</f>
        <v/>
      </c>
      <c r="C11" t="n">
        <v>0</v>
      </c>
    </row>
    <row r="12">
      <c r="A12" t="inlineStr">
        <is>
          <t xml:space="preserve">  Interest Income</t>
        </is>
      </c>
      <c r="B12">
        <f>Consolidation_CF!H12</f>
        <v/>
      </c>
      <c r="C12" t="n">
        <v>0</v>
      </c>
    </row>
    <row r="13">
      <c r="A13" t="inlineStr">
        <is>
          <t>Operating Profit before WC changes</t>
        </is>
      </c>
      <c r="B13">
        <f>Consolidation_CF!H13</f>
        <v/>
      </c>
      <c r="C13" t="n">
        <v>0</v>
      </c>
    </row>
    <row r="14">
      <c r="A14" t="inlineStr">
        <is>
          <t>Working Capital changes:</t>
        </is>
      </c>
      <c r="B14">
        <f>Consolidation_CF!H14</f>
        <v/>
      </c>
      <c r="C14" t="n">
        <v>0</v>
      </c>
    </row>
    <row r="15">
      <c r="A15" t="inlineStr">
        <is>
          <t xml:space="preserve">  (Increase)/Decrease in Receivables</t>
        </is>
      </c>
      <c r="B15">
        <f>Consolidation_CF!H15</f>
        <v/>
      </c>
      <c r="C15" t="n">
        <v>0</v>
      </c>
    </row>
    <row r="16">
      <c r="A16" t="inlineStr">
        <is>
          <t xml:space="preserve">  Increase/(Decrease) in Payables</t>
        </is>
      </c>
      <c r="B16">
        <f>Consolidation_CF!H16</f>
        <v/>
      </c>
      <c r="C16" t="n">
        <v>0</v>
      </c>
    </row>
    <row r="17">
      <c r="A17" t="inlineStr">
        <is>
          <t>Cash Generated from Operations</t>
        </is>
      </c>
      <c r="B17">
        <f>Consolidation_CF!H17</f>
        <v/>
      </c>
      <c r="C17" t="n">
        <v>0</v>
      </c>
    </row>
    <row r="18">
      <c r="A18" t="inlineStr">
        <is>
          <t xml:space="preserve">  Income Tax Paid</t>
        </is>
      </c>
      <c r="B18">
        <f>Consolidation_CF!H18</f>
        <v/>
      </c>
      <c r="C18" t="n">
        <v>0</v>
      </c>
    </row>
    <row r="19">
      <c r="A19" s="15" t="inlineStr">
        <is>
          <t>Net Cash from Operating Activities (A)</t>
        </is>
      </c>
      <c r="B19">
        <f>Consolidation_CF!H19</f>
        <v/>
      </c>
      <c r="C19" t="n">
        <v>0</v>
      </c>
    </row>
    <row r="20">
      <c r="B20">
        <f>Consolidation_CF!H20</f>
        <v/>
      </c>
      <c r="C20" t="n">
        <v>0</v>
      </c>
    </row>
    <row r="21">
      <c r="A21" t="inlineStr">
        <is>
          <t>B. CASH FLOW FROM INVESTING ACTIVITIES</t>
        </is>
      </c>
      <c r="B21">
        <f>Consolidation_CF!H21</f>
        <v/>
      </c>
      <c r="C21" t="n">
        <v>0</v>
      </c>
    </row>
    <row r="22">
      <c r="A22" t="inlineStr">
        <is>
          <t xml:space="preserve">  Purchase of PPE</t>
        </is>
      </c>
      <c r="B22">
        <f>Consolidation_CF!H22</f>
        <v/>
      </c>
      <c r="C22" t="n">
        <v>0</v>
      </c>
    </row>
    <row r="23">
      <c r="A23" t="inlineStr">
        <is>
          <t xml:space="preserve">  Interest Received</t>
        </is>
      </c>
      <c r="B23">
        <f>Consolidation_CF!H23</f>
        <v/>
      </c>
      <c r="C23" t="n">
        <v>0</v>
      </c>
    </row>
    <row r="24">
      <c r="A24" s="15" t="inlineStr">
        <is>
          <t>Net Cash from Investing Activities (B)</t>
        </is>
      </c>
      <c r="B24">
        <f>Consolidation_CF!H24</f>
        <v/>
      </c>
      <c r="C24" t="n">
        <v>0</v>
      </c>
    </row>
    <row r="25">
      <c r="B25">
        <f>Consolidation_CF!H25</f>
        <v/>
      </c>
      <c r="C25" t="n">
        <v>0</v>
      </c>
    </row>
    <row r="26">
      <c r="A26" t="inlineStr">
        <is>
          <t>C. CASH FLOW FROM FINANCING ACTIVITIES</t>
        </is>
      </c>
      <c r="B26">
        <f>Consolidation_CF!H26</f>
        <v/>
      </c>
      <c r="C26" t="n">
        <v>0</v>
      </c>
    </row>
    <row r="27">
      <c r="A27" t="inlineStr">
        <is>
          <t xml:space="preserve">  Proceeds from Borrowings</t>
        </is>
      </c>
    </row>
    <row r="28">
      <c r="A28" t="inlineStr">
        <is>
          <t xml:space="preserve">  Interest Paid</t>
        </is>
      </c>
    </row>
    <row r="29">
      <c r="A29" s="15" t="inlineStr">
        <is>
          <t>Net Cash from Financing Activities (C)</t>
        </is>
      </c>
    </row>
    <row r="31">
      <c r="A31" s="15" t="inlineStr">
        <is>
          <t>Net Increase/(Decrease) in Cash (A+B+C)</t>
        </is>
      </c>
    </row>
    <row r="32">
      <c r="A32" t="inlineStr">
        <is>
          <t>Cash at Beginning of Period</t>
        </is>
      </c>
    </row>
    <row r="33">
      <c r="A33" s="15" t="inlineStr">
        <is>
          <t>Cash at End of Period</t>
        </is>
      </c>
    </row>
    <row r="35">
      <c r="A35" t="inlineStr">
        <is>
          <t>NOTE: This output should link to:</t>
        </is>
      </c>
    </row>
    <row r="36">
      <c r="A36" s="32">
        <f>Consolidation_CF!Post_Elim_Total[Selected_Period]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0FFFF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D3D3D3"/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27" t="inlineStr">
        <is>
          <t>Parameter</t>
        </is>
      </c>
      <c r="B1" s="27" t="inlineStr">
        <is>
          <t>Value</t>
        </is>
      </c>
      <c r="C1" s="27" t="inlineStr">
        <is>
          <t>Description</t>
        </is>
      </c>
    </row>
    <row r="2">
      <c r="A2" t="inlineStr">
        <is>
          <t>Current_Period</t>
        </is>
      </c>
      <c r="B2" t="inlineStr">
        <is>
          <t>Jan-2024</t>
        </is>
      </c>
      <c r="C2" t="inlineStr">
        <is>
          <t>Selected reporting period</t>
        </is>
      </c>
    </row>
    <row r="3">
      <c r="A3" t="inlineStr">
        <is>
          <t>Comparison_Period</t>
        </is>
      </c>
      <c r="B3" t="inlineStr">
        <is>
          <t>Dec-2023</t>
        </is>
      </c>
      <c r="C3" t="inlineStr">
        <is>
          <t>Previous period for comparison</t>
        </is>
      </c>
    </row>
    <row r="4">
      <c r="A4" t="inlineStr">
        <is>
          <t>Display_Mode</t>
        </is>
      </c>
      <c r="B4" t="inlineStr">
        <is>
          <t>Monthly</t>
        </is>
      </c>
      <c r="C4" t="inlineStr">
        <is>
          <t>Monthly/Quarterly/Annual</t>
        </is>
      </c>
    </row>
    <row r="5">
      <c r="A5" t="inlineStr">
        <is>
          <t>Reporting_Currency</t>
        </is>
      </c>
      <c r="B5" t="inlineStr">
        <is>
          <t>INR</t>
        </is>
      </c>
      <c r="C5" t="inlineStr">
        <is>
          <t>Currency for display</t>
        </is>
      </c>
    </row>
    <row r="6">
      <c r="A6" t="inlineStr">
        <is>
          <t>FY_Start_Month</t>
        </is>
      </c>
      <c r="B6" t="inlineStr">
        <is>
          <t>April</t>
        </is>
      </c>
      <c r="C6" t="inlineStr">
        <is>
          <t>Financial year start month</t>
        </is>
      </c>
    </row>
    <row r="7">
      <c r="A7" t="inlineStr">
        <is>
          <t>Rounding</t>
        </is>
      </c>
      <c r="B7" t="inlineStr">
        <is>
          <t>Lacs</t>
        </is>
      </c>
      <c r="C7" t="inlineStr">
        <is>
          <t>Display in Cr/Lacs/thousands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FFB6C1"/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2" customWidth="1" min="3" max="3"/>
    <col width="15" customWidth="1" min="4" max="4"/>
    <col width="12" customWidth="1" min="5" max="5"/>
    <col width="12" customWidth="1" min="6" max="6"/>
  </cols>
  <sheetData>
    <row r="1">
      <c r="A1" s="28" t="inlineStr">
        <is>
          <t>Check #</t>
        </is>
      </c>
      <c r="B1" s="28" t="inlineStr">
        <is>
          <t>Check Description</t>
        </is>
      </c>
      <c r="C1" s="28" t="inlineStr">
        <is>
          <t>Expected</t>
        </is>
      </c>
      <c r="D1" s="28" t="inlineStr">
        <is>
          <t>Actual</t>
        </is>
      </c>
      <c r="E1" s="28" t="inlineStr">
        <is>
          <t>Status</t>
        </is>
      </c>
      <c r="F1" s="28" t="inlineStr">
        <is>
          <t>Variance</t>
        </is>
      </c>
    </row>
    <row r="2">
      <c r="A2" t="inlineStr">
        <is>
          <t>V01</t>
        </is>
      </c>
      <c r="B2" t="inlineStr">
        <is>
          <t>BS Balances (Assets = Liab + Equity)</t>
        </is>
      </c>
      <c r="C2" t="inlineStr">
        <is>
          <t>0</t>
        </is>
      </c>
      <c r="D2" s="20">
        <f>IFERROR(INDEX(Consolidation_BS!$J$1:$J$100,MATCH("BS_A_000",Consolidation_BS!$A$1:$A$100,0)),0)-IFERROR(INDEX(Consolidation_BS!$J$1:$J$100,MATCH("BS_E_000",Consolidation_BS!$A$1:$A$100,0)),0)</f>
        <v/>
      </c>
      <c r="E2" s="36">
        <f>IF(ABS(D2)&lt;0.01,"PASS","FAIL")</f>
        <v/>
      </c>
      <c r="F2" s="20" t="inlineStr">
        <is>
          <t>TOTAL FAILS:</t>
        </is>
      </c>
      <c r="G2">
        <f>COUNTIF($E$2:$E$20,"FAIL")</f>
        <v/>
      </c>
    </row>
    <row r="3">
      <c r="A3" t="inlineStr">
        <is>
          <t>V02</t>
        </is>
      </c>
      <c r="B3" t="inlineStr">
        <is>
          <t>IC Receivables = IC Payables</t>
        </is>
      </c>
      <c r="C3" t="inlineStr">
        <is>
          <t>0</t>
        </is>
      </c>
      <c r="D3" s="20">
        <f>IFERROR(SUMIF(IC_Transactions!$B$1:$B$100,"Loan_Given",IC_Transactions!$F$1:$F$100),0)</f>
        <v/>
      </c>
      <c r="E3" s="36">
        <f>IF(ABS(D3-IFERROR(INDEX(Consolidation_BS!$J$1:$J$100,MATCH("BS_A_153",Consolidation_BS!$A$1:$A$100,0)),0))&lt;0.01,"PASS","FAIL")</f>
        <v/>
      </c>
      <c r="F3" s="20">
        <f>D3</f>
        <v/>
      </c>
    </row>
    <row r="4">
      <c r="A4" t="inlineStr">
        <is>
          <t>V03</t>
        </is>
      </c>
      <c r="B4" t="inlineStr">
        <is>
          <t>TB Debit = Credit (E001, Jan-24)</t>
        </is>
      </c>
      <c r="C4" t="inlineStr">
        <is>
          <t>0</t>
        </is>
      </c>
      <c r="D4" s="20">
        <f>IFERROR(TB_Input!E23-TB_Input!F23,0)</f>
        <v/>
      </c>
      <c r="E4" s="36">
        <f>IF(ABS(D4)&lt;0.01,"PASS","FAIL")</f>
        <v/>
      </c>
      <c r="F4" s="20">
        <f>D4</f>
        <v/>
      </c>
    </row>
    <row r="5">
      <c r="A5" t="inlineStr">
        <is>
          <t>V04</t>
        </is>
      </c>
      <c r="B5" t="inlineStr">
        <is>
          <t>TB Debit = Credit (E002, Jan-24)</t>
        </is>
      </c>
      <c r="C5" t="inlineStr">
        <is>
          <t>0</t>
        </is>
      </c>
      <c r="D5" s="20">
        <f>IFERROR(TB_Input!H23-TB_Input!I23,0)</f>
        <v/>
      </c>
      <c r="E5" s="36">
        <f>IF(ABS(D5)&lt;0.01,"PASS","FAIL")</f>
        <v/>
      </c>
      <c r="F5" s="20">
        <f>D5</f>
        <v/>
      </c>
    </row>
    <row r="6">
      <c r="A6" t="inlineStr">
        <is>
          <t>V05</t>
        </is>
      </c>
      <c r="B6" t="inlineStr">
        <is>
          <t>Cash Flow Reconciliation</t>
        </is>
      </c>
      <c r="C6" t="inlineStr">
        <is>
          <t>0</t>
        </is>
      </c>
      <c r="D6" s="20">
        <f>IFERROR(INDEX(Consolidation_CF!$C$1:$C$100,MATCH("CF_S_030",Consolidation_CF!$A$1:$A$100,0)),0)</f>
        <v/>
      </c>
      <c r="E6" s="36">
        <f>IF(ABS(D6-IFERROR(INDEX(Consolidation_BS!$J$1:$J$100,MATCH("BS_A_222",Consolidation_BS!$A$1:$A$100,0)),0))&lt;1,"PASS","FAIL")</f>
        <v/>
      </c>
      <c r="F6" s="20">
        <f>D6</f>
        <v/>
      </c>
    </row>
    <row r="7">
      <c r="A7" t="inlineStr">
        <is>
          <t>V06</t>
        </is>
      </c>
      <c r="B7" t="inlineStr">
        <is>
          <t>NCI Calculation Check</t>
        </is>
      </c>
      <c r="C7" t="inlineStr">
        <is>
          <t>Match</t>
        </is>
      </c>
      <c r="D7" s="20">
        <f>IFERROR(INDEX(Consolidation_PL!$K$1:$K$100,MATCH("PL_R_200",Consolidation_PL!$A$1:$A$100,0)),0)</f>
        <v/>
      </c>
      <c r="E7" s="36">
        <f>IF(D7&gt;=0,"PASS","CHECK")</f>
        <v/>
      </c>
      <c r="F7" s="20">
        <f>D7</f>
        <v/>
      </c>
    </row>
    <row r="8">
      <c r="A8" t="inlineStr">
        <is>
          <t>V07</t>
        </is>
      </c>
      <c r="B8" t="inlineStr">
        <is>
          <t>Ownership % Valid (0-100%)</t>
        </is>
      </c>
      <c r="C8" t="inlineStr">
        <is>
          <t>All Valid</t>
        </is>
      </c>
      <c r="D8" s="20">
        <f>COUNTIFS(Entity_Master!$E$5:$E$20,"&lt;0")+COUNTIFS(Entity_Master!$E$5:$E$20,"&gt;100")</f>
        <v/>
      </c>
      <c r="E8" s="36">
        <f>IF(D8=0,"PASS","FAIL")</f>
        <v/>
      </c>
      <c r="F8" s="20" t="n">
        <v>0</v>
      </c>
    </row>
    <row r="9">
      <c r="A9" t="inlineStr">
        <is>
          <t>V08</t>
        </is>
      </c>
      <c r="B9" t="inlineStr">
        <is>
          <t>No Circular Ownership</t>
        </is>
      </c>
      <c r="C9" t="inlineStr">
        <is>
          <t>None</t>
        </is>
      </c>
      <c r="D9" s="20">
        <f>COUNTA(Entity_Master!$A$5:$A$20)</f>
        <v/>
      </c>
      <c r="E9" s="36">
        <f>IF(D9&gt;0,"PASS","CHECK")</f>
        <v/>
      </c>
      <c r="F9" s="20" t="n">
        <v>0</v>
      </c>
    </row>
    <row r="10">
      <c r="A10" t="inlineStr">
        <is>
          <t>V09</t>
        </is>
      </c>
      <c r="B10" t="inlineStr">
        <is>
          <t>Elimination Impact = Zero</t>
        </is>
      </c>
      <c r="C10" t="inlineStr">
        <is>
          <t>0</t>
        </is>
      </c>
      <c r="D10" s="20">
        <f>IFERROR(SUM(Eliminations!$C$5:$F$20),0)</f>
        <v/>
      </c>
      <c r="E10" s="36">
        <f>IF(ABS(D10)&lt;0.01,"PASS","CHECK")</f>
        <v/>
      </c>
      <c r="F10" s="20" t="n">
        <v>0</v>
      </c>
    </row>
    <row r="11">
      <c r="A11" t="inlineStr">
        <is>
          <t>V10</t>
        </is>
      </c>
      <c r="B11" t="inlineStr">
        <is>
          <t>Entity Master Integrity</t>
        </is>
      </c>
      <c r="C11" t="inlineStr">
        <is>
          <t>Valid</t>
        </is>
      </c>
      <c r="D11" s="20">
        <f>COUNTBLANK(Entity_Master!$A$5:$A$20)-COUNTBLANK(Entity_Master!$B$5:$B$20)</f>
        <v/>
      </c>
      <c r="E11" s="36">
        <f>IF(D11=0,"PASS","CHECK")</f>
        <v/>
      </c>
      <c r="F11" s="20" t="n">
        <v>0</v>
      </c>
    </row>
    <row r="12">
      <c r="A12" t="inlineStr">
        <is>
          <t>V11</t>
        </is>
      </c>
      <c r="B12" t="inlineStr">
        <is>
          <t>Unmapped Accounts Detection</t>
        </is>
      </c>
      <c r="C12" t="inlineStr">
        <is>
          <t>0</t>
        </is>
      </c>
      <c r="D12">
        <f>COUNTIF(TB_Input!$A$5:TB_Input!$A$1000,"???*")-COUNTA(Mapping_BS!$G$1:$G$100)-COUNTA(Mapping_PL!$G$1:$G$100)</f>
        <v/>
      </c>
      <c r="E12">
        <f>IF(D12=0,"PASS","CHECK")</f>
        <v/>
      </c>
      <c r="F12">
        <f>D12</f>
        <v/>
      </c>
    </row>
    <row r="13">
      <c r="A13" t="inlineStr">
        <is>
          <t>V12</t>
        </is>
      </c>
      <c r="B13" t="inlineStr">
        <is>
          <t>All TB Entities exist in Entity_Master</t>
        </is>
      </c>
      <c r="C13" t="inlineStr">
        <is>
          <t>All Valid</t>
        </is>
      </c>
      <c r="D13" s="20">
        <f>COUNTIF(Entity_Master!$A$1:$A$100,"E00?")</f>
        <v/>
      </c>
      <c r="E13">
        <f>IF(D13&gt;=3,"PASS","CHECK")</f>
        <v/>
      </c>
      <c r="F13" s="20">
        <f>D13</f>
        <v/>
      </c>
    </row>
    <row r="14">
      <c r="A14" t="inlineStr">
        <is>
          <t>V13</t>
        </is>
      </c>
      <c r="B14" t="inlineStr">
        <is>
          <t>All IC Transactions have Eliminations</t>
        </is>
      </c>
      <c r="C14" t="inlineStr">
        <is>
          <t>Match</t>
        </is>
      </c>
      <c r="D14" s="20">
        <f>COUNTA(IC_Transactions!$A$1:$A$100)-1</f>
        <v/>
      </c>
      <c r="E14">
        <f>IF(D14&lt;=COUNTA(Eliminations!$A$1:$A$100)-1,"PASS","CHECK")</f>
        <v/>
      </c>
      <c r="F14" s="20">
        <f>D14</f>
        <v/>
      </c>
    </row>
    <row r="15">
      <c r="A15" t="inlineStr">
        <is>
          <t>V14</t>
        </is>
      </c>
      <c r="B15" t="inlineStr">
        <is>
          <t>No Duplicate Entity_IDs</t>
        </is>
      </c>
      <c r="C15" t="inlineStr">
        <is>
          <t>None</t>
        </is>
      </c>
      <c r="D15" s="20">
        <f>COUNTA(Entity_Master!$A$1:$A$100)-1</f>
        <v/>
      </c>
      <c r="E15">
        <f>IF(D15=SUMPRODUCT(1/COUNTIF(Entity_Master!$A$2:Entity_Master!$A$100,Entity_Master!$A$2:Entity_Master!$A$100))+1,"PASS","FAIL")</f>
        <v/>
      </c>
      <c r="F15" s="20" t="n">
        <v>0</v>
      </c>
    </row>
    <row r="16">
      <c r="A16" t="inlineStr">
        <is>
          <t>V15</t>
        </is>
      </c>
      <c r="B16" t="inlineStr">
        <is>
          <t>All Ownership % between 0-100%</t>
        </is>
      </c>
      <c r="C16" t="inlineStr">
        <is>
          <t>Valid</t>
        </is>
      </c>
      <c r="D16" s="20">
        <f>COUNTIFS(Entity_Master!$E$1:$E$100,"&gt;=0",Entity_Master!$E$1:$E$100,"&lt;=1")</f>
        <v/>
      </c>
      <c r="E16">
        <f>IF(D16&gt;=COUNTA(Entity_Master!$E$1:$E$100)-1,"PASS","FAIL")</f>
        <v/>
      </c>
      <c r="F16" s="20">
        <f>D16</f>
        <v/>
      </c>
    </row>
    <row r="30">
      <c r="A30" s="15" t="inlineStr">
        <is>
          <t>Total Failed Checks</t>
        </is>
      </c>
      <c r="C30">
        <f>COUNTIF(C5:C25,"FAIL")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FFFFFF"/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3" t="inlineStr">
        <is>
          <t>RENEWABLE ENERGY CONSOLIDATION MODEL - USER GUIDE</t>
        </is>
      </c>
    </row>
    <row r="4">
      <c r="A4" s="24" t="inlineStr">
        <is>
          <t>1. MODEL OVERVIEW</t>
        </is>
      </c>
    </row>
    <row r="5">
      <c r="A5" t="inlineStr">
        <is>
          <t xml:space="preserve">   This Excel model provides complete financial consolidation for renewable energy companies</t>
        </is>
      </c>
    </row>
    <row r="6">
      <c r="A6" t="inlineStr">
        <is>
          <t xml:space="preserve">   with hybrid EPC + IPP business models.</t>
        </is>
      </c>
    </row>
    <row r="8">
      <c r="A8" s="24" t="inlineStr">
        <is>
          <t>2. GETTING STARTED</t>
        </is>
      </c>
    </row>
    <row r="9">
      <c r="A9" t="inlineStr">
        <is>
          <t xml:space="preserve">   - Start with the Dashboard sheet for navigation</t>
        </is>
      </c>
    </row>
    <row r="10">
      <c r="A10" t="inlineStr">
        <is>
          <t xml:space="preserve">   - Review Entity_Master and Asset_Master to understand the structure</t>
        </is>
      </c>
    </row>
    <row r="11">
      <c r="A11" t="inlineStr">
        <is>
          <t xml:space="preserve">   - Input monthly trial balances in TB_Input sheet</t>
        </is>
      </c>
    </row>
    <row r="12">
      <c r="A12" t="inlineStr">
        <is>
          <t xml:space="preserve">   - Track intercompany transactions in IC_Transactions sheet</t>
        </is>
      </c>
    </row>
    <row r="14">
      <c r="A14" s="24" t="inlineStr">
        <is>
          <t>3. MASTER DATA SETUP</t>
        </is>
      </c>
    </row>
    <row r="15">
      <c r="A15" t="inlineStr">
        <is>
          <t xml:space="preserve">   Entity_Master: Add all entities (Parent, SPVs, JVs, Associates)</t>
        </is>
      </c>
    </row>
    <row r="16">
      <c r="A16" t="inlineStr">
        <is>
          <t xml:space="preserve">   Asset_Master: Add all assets with hierarchical classification</t>
        </is>
      </c>
    </row>
    <row r="17">
      <c r="A17" t="inlineStr">
        <is>
          <t xml:space="preserve">   Reference_Lists: Customize dropdown values as needed</t>
        </is>
      </c>
    </row>
    <row r="19">
      <c r="A19" s="24" t="inlineStr">
        <is>
          <t>4. MONTHLY DATA INPUT</t>
        </is>
      </c>
    </row>
    <row r="20">
      <c r="A20" t="inlineStr">
        <is>
          <t xml:space="preserve">   TB_Input: Enter trial balance for each entity for each month</t>
        </is>
      </c>
    </row>
    <row r="21">
      <c r="A21" t="inlineStr">
        <is>
          <t xml:space="preserve">   - Use the column structure: Entity_Period_Dr, Entity_Period_Cr, Entity_Period_Net</t>
        </is>
      </c>
    </row>
    <row r="22">
      <c r="A22" t="inlineStr">
        <is>
          <t xml:space="preserve">   - Ensure Total Debit = Total Credit for each entity</t>
        </is>
      </c>
    </row>
    <row r="23">
      <c r="A23" t="inlineStr">
        <is>
          <t xml:space="preserve">   IC_Transactions: Record all intercompany transactions</t>
        </is>
      </c>
    </row>
    <row r="25">
      <c r="A25" s="24" t="inlineStr">
        <is>
          <t>5. PERIOD SELECTION</t>
        </is>
      </c>
    </row>
    <row r="26">
      <c r="A26" t="inlineStr">
        <is>
          <t xml:space="preserve">   Use Period_Control sheet to set:</t>
        </is>
      </c>
    </row>
    <row r="27">
      <c r="A27" t="inlineStr">
        <is>
          <t xml:space="preserve">   - Current reporting period</t>
        </is>
      </c>
    </row>
    <row r="28">
      <c r="A28" t="inlineStr">
        <is>
          <t xml:space="preserve">   - Comparison period</t>
        </is>
      </c>
    </row>
    <row r="29">
      <c r="A29" t="inlineStr">
        <is>
          <t xml:space="preserve">   - Display mode (Monthly/Quarterly/Annual)</t>
        </is>
      </c>
    </row>
    <row r="31">
      <c r="A31" s="24" t="inlineStr">
        <is>
          <t>6. READING OUTPUTS</t>
        </is>
      </c>
    </row>
    <row r="32">
      <c r="A32" t="inlineStr">
        <is>
          <t xml:space="preserve">   Output_BS: Consolidated Balance Sheet</t>
        </is>
      </c>
    </row>
    <row r="33">
      <c r="A33" t="inlineStr">
        <is>
          <t xml:space="preserve">   Output_PL: Consolidated Profit &amp; Loss</t>
        </is>
      </c>
    </row>
    <row r="34">
      <c r="A34" t="inlineStr">
        <is>
          <t xml:space="preserve">   Output_CF: Consolidated Cash Flow (Indirect Method)</t>
        </is>
      </c>
    </row>
    <row r="35">
      <c r="A35" t="inlineStr">
        <is>
          <t xml:space="preserve">   All outputs automatically update based on period selection</t>
        </is>
      </c>
    </row>
    <row r="37">
      <c r="A37" s="24" t="inlineStr">
        <is>
          <t>7. VALIDATION &amp; TROUBLESHOOTING</t>
        </is>
      </c>
    </row>
    <row r="38">
      <c r="A38" t="inlineStr">
        <is>
          <t xml:space="preserve">   Validation sheet: Check for errors and data integrity issues</t>
        </is>
      </c>
    </row>
    <row r="39">
      <c r="A39" t="inlineStr">
        <is>
          <t xml:space="preserve">   - All checks should show "Pass" status</t>
        </is>
      </c>
    </row>
    <row r="40">
      <c r="A40" t="inlineStr">
        <is>
          <t xml:space="preserve">   - Red highlighting indicates issues to resolve</t>
        </is>
      </c>
    </row>
    <row r="42">
      <c r="A42" s="24" t="inlineStr">
        <is>
          <t>8. ASSUMPTIONS &amp; LIMITATIONS</t>
        </is>
      </c>
    </row>
    <row r="43">
      <c r="A43" t="inlineStr">
        <is>
          <t xml:space="preserve">   - Accounting Standard: Ind AS / IFRS compliant</t>
        </is>
      </c>
    </row>
    <row r="44">
      <c r="A44" t="inlineStr">
        <is>
          <t xml:space="preserve">   - Cash Flow: Indirect method only</t>
        </is>
      </c>
    </row>
    <row r="45">
      <c r="A45" t="inlineStr">
        <is>
          <t xml:space="preserve">   - Consolidation: Full for &gt;50%, Equity for 20-50%</t>
        </is>
      </c>
    </row>
    <row r="46">
      <c r="A46" t="inlineStr">
        <is>
          <t xml:space="preserve">   - Currency: Single functional currency (INR)</t>
        </is>
      </c>
    </row>
    <row r="47">
      <c r="A47" t="inlineStr">
        <is>
          <t xml:space="preserve">   - Entities: Practical limit ~100</t>
        </is>
      </c>
    </row>
    <row r="48">
      <c r="A48" t="inlineStr">
        <is>
          <t xml:space="preserve">   - Periods: Recommended max 60 months</t>
        </is>
      </c>
    </row>
    <row r="50">
      <c r="A50" s="24" t="inlineStr">
        <is>
          <t>9. SUPPORT</t>
        </is>
      </c>
    </row>
    <row r="51">
      <c r="A51" t="inlineStr">
        <is>
          <t xml:space="preserve">   For questions, refer to:</t>
        </is>
      </c>
    </row>
    <row r="52">
      <c r="A52" t="inlineStr">
        <is>
          <t xml:space="preserve">   - PHASE_1_RESEARCH.md for industry context</t>
        </is>
      </c>
    </row>
    <row r="53">
      <c r="A53" t="inlineStr">
        <is>
          <t xml:space="preserve">   - PHASE_2_SYSTEM_DESIGN.md for architecture</t>
        </is>
      </c>
    </row>
    <row r="54">
      <c r="A54" t="inlineStr">
        <is>
          <t xml:space="preserve">   - PHASE_3_EXCEL_MODEL_BUILD documentation for detailed specs</t>
        </is>
      </c>
    </row>
    <row r="56">
      <c r="A56" s="24" t="inlineStr">
        <is>
          <t>10. VERSION CONTROL</t>
        </is>
      </c>
    </row>
    <row r="57">
      <c r="A57" t="inlineStr">
        <is>
          <t xml:space="preserve">   Model Version: 1.0</t>
        </is>
      </c>
    </row>
    <row r="58">
      <c r="A58" t="inlineStr">
        <is>
          <t xml:space="preserve">   Built Date: 2026-03-17</t>
        </is>
      </c>
    </row>
    <row r="59">
      <c r="A59" t="inlineStr">
        <is>
          <t xml:space="preserve">   Based on: PHASE 1-3 repository specifications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2026-03-17T11:10:09Z</dcterms:created>
  <dcterms:modified xmlns:dcterms="http://purl.org/dc/terms/" xmlns:xsi="http://www.w3.org/2001/XMLSchema-instance" xsi:type="dcterms:W3CDTF">2026-03-23T06:14:03Z</dcterms:modified>
</cp:coreProperties>
</file>